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User\Downloads\Compressed\Module 2 xlsx files-20251119T164915Z-1-001\Module 2 xlsx files\"/>
    </mc:Choice>
  </mc:AlternateContent>
  <xr:revisionPtr revIDLastSave="0" documentId="13_ncr:1_{DA787AE4-8C43-4989-A9E5-73446A7FBA3B}" xr6:coauthVersionLast="47" xr6:coauthVersionMax="47" xr10:uidLastSave="{00000000-0000-0000-0000-000000000000}"/>
  <bookViews>
    <workbookView xWindow="-120" yWindow="-120" windowWidth="29040" windowHeight="15720" tabRatio="742" activeTab="3" xr2:uid="{E95655AC-1599-45D3-B540-BBA8CD8F5ACB}"/>
  </bookViews>
  <sheets>
    <sheet name="Module 2" sheetId="1" r:id="rId1"/>
    <sheet name="Assignment 1" sheetId="2" r:id="rId2"/>
    <sheet name="Assignment 2" sheetId="3" r:id="rId3"/>
    <sheet name="Assignment 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5" i="4" l="1" a="1"/>
  <c r="T5" i="4" s="1"/>
  <c r="H16" i="3"/>
  <c r="T4" i="4" a="1"/>
  <c r="T4" i="4" s="1"/>
  <c r="I5" i="4"/>
  <c r="I6" i="4"/>
  <c r="I4" i="4"/>
  <c r="G3" i="2"/>
  <c r="Y5" i="4"/>
  <c r="Y6" i="4"/>
  <c r="Y4" i="4"/>
  <c r="X5" i="4"/>
  <c r="X6" i="4"/>
  <c r="X4" i="4"/>
  <c r="W5" i="4"/>
  <c r="W6" i="4"/>
  <c r="W4" i="4"/>
  <c r="T6" i="4" a="1"/>
  <c r="T6" i="4" s="1"/>
  <c r="L4" i="4"/>
  <c r="O5" i="4"/>
  <c r="O6" i="4"/>
  <c r="O4" i="4"/>
  <c r="N5" i="4"/>
  <c r="N6" i="4"/>
  <c r="N4" i="4"/>
  <c r="M5" i="4"/>
  <c r="M6" i="4"/>
  <c r="M4" i="4"/>
  <c r="H22" i="3"/>
  <c r="H18" i="3"/>
  <c r="H20" i="3"/>
  <c r="H5" i="4"/>
  <c r="H6" i="4"/>
  <c r="H4" i="4"/>
  <c r="L5" i="4"/>
  <c r="L6" i="4"/>
  <c r="G4" i="2"/>
  <c r="G5" i="2"/>
  <c r="G13" i="2"/>
  <c r="G14" i="2"/>
  <c r="G12" i="2"/>
  <c r="B3" i="3" a="1"/>
  <c r="B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<sst xmlns="http://schemas.openxmlformats.org/spreadsheetml/2006/main" count="97" uniqueCount="53">
  <si>
    <t>Lookup and Conditional Functions | Using VLOOKUP, HLOOKUP Functions | Carefulness of VLOOKUP Function | Using SUMIF, COUNTIF | Using SUMIFS, COUNTIFS, COUNTA, INDEX and MATCH | MINIFS, MAXIFS | Using AVERAGEIFS</t>
  </si>
  <si>
    <t>Question : 1</t>
  </si>
  <si>
    <t>Target</t>
  </si>
  <si>
    <t>Sales</t>
  </si>
  <si>
    <t>Result</t>
  </si>
  <si>
    <t>Input</t>
  </si>
  <si>
    <t>Output</t>
  </si>
  <si>
    <t>Sales &gt;Target</t>
  </si>
  <si>
    <t>Achieved</t>
  </si>
  <si>
    <t>Sales &lt;Target</t>
  </si>
  <si>
    <t>Task : 1</t>
  </si>
  <si>
    <t>Pls find the result (Achieved) if Sale Is greater than the Target</t>
  </si>
  <si>
    <t>Task : 2</t>
  </si>
  <si>
    <t>Pls find the result ( Not Achieved) if Sale Is less than the Target</t>
  </si>
  <si>
    <t>Question: 2</t>
  </si>
  <si>
    <t>Commission</t>
  </si>
  <si>
    <t>Pls find the result (Commission 10%) if Sale Is greater than the Target</t>
  </si>
  <si>
    <t>Pls find the result (Commission 0%) if Sale Is less than the Target</t>
  </si>
  <si>
    <t>Question: 1</t>
  </si>
  <si>
    <t>Question: 3</t>
  </si>
  <si>
    <t>Question: 4</t>
  </si>
  <si>
    <t>SL</t>
  </si>
  <si>
    <t>Rahim</t>
  </si>
  <si>
    <t>Anis</t>
  </si>
  <si>
    <t>Karim</t>
  </si>
  <si>
    <t>Raju</t>
  </si>
  <si>
    <t>Find the Count from Question 1 by using Formula</t>
  </si>
  <si>
    <t>Find the Count from Question 2 by using Formula</t>
  </si>
  <si>
    <t>Task : 3</t>
  </si>
  <si>
    <t>Find the count blank from Question 3 by using Formula</t>
  </si>
  <si>
    <t>Task : 4</t>
  </si>
  <si>
    <t>Find the how many 10 at  Question 4 by using Formula</t>
  </si>
  <si>
    <t>Company</t>
  </si>
  <si>
    <t>ID No</t>
  </si>
  <si>
    <t>Month</t>
  </si>
  <si>
    <t>Question 1:</t>
  </si>
  <si>
    <t>Question 2:</t>
  </si>
  <si>
    <t>NIKE</t>
  </si>
  <si>
    <t>Name</t>
  </si>
  <si>
    <t>ADDIDAS</t>
  </si>
  <si>
    <t>Tesla</t>
  </si>
  <si>
    <t>Task 1:</t>
  </si>
  <si>
    <t>Task 2:</t>
  </si>
  <si>
    <t>Not Achieved</t>
  </si>
  <si>
    <t>ANS:</t>
  </si>
  <si>
    <t>Find the  sum of  sales of  only month of 12 by using formula from question 1</t>
  </si>
  <si>
    <t>Find the  sum of  sales  of Company "Tesla" by using formula from question 1</t>
  </si>
  <si>
    <t>Total Sales</t>
  </si>
  <si>
    <t>Best</t>
  </si>
  <si>
    <t>Worst</t>
  </si>
  <si>
    <t>Average</t>
  </si>
  <si>
    <t>sales based on month and company</t>
  </si>
  <si>
    <t>TESLA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</si>
</sst>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9"/>
      <color rgb="FF101828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5" xfId="0" applyNumberFormat="1" applyBorder="1" applyAlignment="1">
      <alignment horizontal="center"/>
    </xf>
    <xf numFmtId="9" fontId="0" fillId="0" borderId="0" xfId="1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5B081-032E-4221-924C-DDEBA8FAF22B}">
  <sheetPr>
    <tabColor rgb="FF92D050"/>
  </sheetPr>
  <dimension ref="A1"/>
  <sheetViews>
    <sheetView workbookViewId="0">
      <selection activeCell="J15" sqref="J15"/>
    </sheetView>
  </sheetViews>
  <sheetFormatPr defaultRowHeight="14.25"/>
  <sheetData>
    <row r="1" spans="1: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4051E-F2DA-4D0A-95F8-B9332B09A243}">
  <sheetPr>
    <tabColor rgb="FFFFFF00"/>
  </sheetPr>
  <dimension ref="B1:G17"/>
  <sheetViews>
    <sheetView workbookViewId="0">
      <selection activeCell="L11" sqref="L11"/>
    </sheetView>
  </sheetViews>
  <sheetFormatPr defaultRowHeight="14.25"/>
  <cols>
    <col min="2" max="2" width="11.625" bestFit="1" customWidth="1"/>
    <col min="7" max="7" width="12.75" style="2" customWidth="1"/>
    <col min="8" max="8" width="11.5" bestFit="1" customWidth="1"/>
  </cols>
  <sheetData>
    <row r="1" spans="2:7" ht="15" thickBot="1">
      <c r="B1" t="s">
        <v>1</v>
      </c>
    </row>
    <row r="2" spans="2:7">
      <c r="B2" s="3"/>
      <c r="C2" s="4"/>
      <c r="D2" s="4"/>
      <c r="E2" s="5" t="s">
        <v>2</v>
      </c>
      <c r="F2" s="5" t="s">
        <v>3</v>
      </c>
      <c r="G2" s="2" t="s">
        <v>4</v>
      </c>
    </row>
    <row r="3" spans="2:7">
      <c r="B3" s="6" t="s">
        <v>5</v>
      </c>
      <c r="C3" t="s">
        <v>6</v>
      </c>
      <c r="E3" s="2">
        <v>120</v>
      </c>
      <c r="F3" s="2">
        <v>121</v>
      </c>
      <c r="G3" s="2" t="str">
        <f>IF(F3&gt; E3, $C$4, $C$5)</f>
        <v>Achieved</v>
      </c>
    </row>
    <row r="4" spans="2:7">
      <c r="B4" s="6" t="s">
        <v>7</v>
      </c>
      <c r="C4" t="s">
        <v>8</v>
      </c>
      <c r="E4" s="2">
        <v>120</v>
      </c>
      <c r="F4" s="2">
        <v>119</v>
      </c>
      <c r="G4" s="2" t="str">
        <f>IF(F4&gt; E4, $C$4, $C$5)</f>
        <v>Not Achieved</v>
      </c>
    </row>
    <row r="5" spans="2:7" ht="15" thickBot="1">
      <c r="B5" s="7" t="s">
        <v>9</v>
      </c>
      <c r="C5" s="8" t="s">
        <v>43</v>
      </c>
      <c r="D5" s="8"/>
      <c r="E5" s="9">
        <v>120</v>
      </c>
      <c r="F5" s="9">
        <v>120.1</v>
      </c>
      <c r="G5" s="2" t="str">
        <f t="shared" ref="G5" si="0">IF(F5&gt; E5, $C$4, $C$5)</f>
        <v>Achieved</v>
      </c>
    </row>
    <row r="7" spans="2:7">
      <c r="B7" t="s">
        <v>10</v>
      </c>
      <c r="C7" t="s">
        <v>11</v>
      </c>
    </row>
    <row r="8" spans="2:7">
      <c r="B8" t="s">
        <v>12</v>
      </c>
      <c r="C8" t="s">
        <v>13</v>
      </c>
    </row>
    <row r="10" spans="2:7" ht="15" thickBot="1">
      <c r="B10" t="s">
        <v>14</v>
      </c>
    </row>
    <row r="11" spans="2:7">
      <c r="B11" s="3"/>
      <c r="C11" s="4"/>
      <c r="D11" s="4"/>
      <c r="E11" s="5" t="s">
        <v>2</v>
      </c>
      <c r="F11" s="5" t="s">
        <v>3</v>
      </c>
      <c r="G11" s="2" t="s">
        <v>4</v>
      </c>
    </row>
    <row r="12" spans="2:7">
      <c r="B12" s="6" t="s">
        <v>5</v>
      </c>
      <c r="C12" t="s">
        <v>15</v>
      </c>
      <c r="E12" s="2">
        <v>120</v>
      </c>
      <c r="F12" s="2">
        <v>125</v>
      </c>
      <c r="G12" s="12">
        <f>IF(F12 &gt; E12, $C$13, $C$14)</f>
        <v>0.1</v>
      </c>
    </row>
    <row r="13" spans="2:7">
      <c r="B13" s="6" t="s">
        <v>7</v>
      </c>
      <c r="C13" s="10">
        <v>0.1</v>
      </c>
      <c r="E13" s="2">
        <v>120</v>
      </c>
      <c r="F13" s="2">
        <v>119</v>
      </c>
      <c r="G13" s="12">
        <f t="shared" ref="G13:G14" si="1">IF(F13 &gt; E13, $C$13, $C$14)</f>
        <v>0</v>
      </c>
    </row>
    <row r="14" spans="2:7" ht="15" thickBot="1">
      <c r="B14" s="7" t="s">
        <v>9</v>
      </c>
      <c r="C14" s="11">
        <v>0</v>
      </c>
      <c r="D14" s="8"/>
      <c r="E14" s="9">
        <v>120</v>
      </c>
      <c r="F14" s="9">
        <v>130</v>
      </c>
      <c r="G14" s="12">
        <f t="shared" si="1"/>
        <v>0.1</v>
      </c>
    </row>
    <row r="16" spans="2:7">
      <c r="B16" t="s">
        <v>10</v>
      </c>
      <c r="C16" t="s">
        <v>16</v>
      </c>
    </row>
    <row r="17" spans="2:3">
      <c r="B17" t="s">
        <v>12</v>
      </c>
      <c r="C17" t="s">
        <v>17</v>
      </c>
    </row>
  </sheetData>
  <conditionalFormatting sqref="G3:G5">
    <cfRule type="containsText" dxfId="4" priority="5" operator="containsText" text="Not Achieved">
      <formula>NOT(ISERROR(SEARCH("Not Achieved",G3)))</formula>
    </cfRule>
  </conditionalFormatting>
  <conditionalFormatting sqref="G1:G5">
    <cfRule type="containsText" dxfId="3" priority="3" operator="containsText" text="Not Achived">
      <formula>NOT(ISERROR(SEARCH("Not Achived",G1)))</formula>
    </cfRule>
    <cfRule type="containsText" dxfId="2" priority="4" operator="containsText" text="Not ac">
      <formula>NOT(ISERROR(SEARCH("Not ac",G1)))</formula>
    </cfRule>
  </conditionalFormatting>
  <conditionalFormatting sqref="G11:G14">
    <cfRule type="containsText" dxfId="1" priority="2" operator="containsText" text="0%">
      <formula>NOT(ISERROR(SEARCH("0%",G11)))</formula>
    </cfRule>
  </conditionalFormatting>
  <conditionalFormatting sqref="G12:G14">
    <cfRule type="containsText" dxfId="0" priority="1" operator="containsText" text="0%">
      <formula>NOT(ISERROR(SEARCH("0%",G12)))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8F18-3CB7-446A-BA64-E86388C6B521}">
  <sheetPr>
    <tabColor rgb="FF00B050"/>
  </sheetPr>
  <dimension ref="A1:H22"/>
  <sheetViews>
    <sheetView workbookViewId="0">
      <selection activeCell="G30" sqref="G30"/>
    </sheetView>
  </sheetViews>
  <sheetFormatPr defaultRowHeight="14.25"/>
  <cols>
    <col min="2" max="2" width="10.125" bestFit="1" customWidth="1"/>
    <col min="4" max="4" width="8.75" style="2"/>
  </cols>
  <sheetData>
    <row r="1" spans="1:8">
      <c r="B1" t="s">
        <v>18</v>
      </c>
      <c r="D1" s="2" t="s">
        <v>14</v>
      </c>
      <c r="F1" s="2" t="s">
        <v>19</v>
      </c>
      <c r="H1" s="2" t="s">
        <v>20</v>
      </c>
    </row>
    <row r="2" spans="1:8">
      <c r="B2" s="2" t="s">
        <v>21</v>
      </c>
      <c r="D2" s="2">
        <v>1</v>
      </c>
      <c r="F2" s="2">
        <v>1</v>
      </c>
      <c r="H2" s="2">
        <v>1</v>
      </c>
    </row>
    <row r="3" spans="1:8">
      <c r="B3" s="2" cm="1">
        <f t="array" ref="B3:B12">_xlfn.SEQUENCE(10)</f>
        <v>1</v>
      </c>
      <c r="D3" s="2">
        <v>2</v>
      </c>
      <c r="F3" s="2">
        <v>2</v>
      </c>
      <c r="H3" s="2">
        <v>10</v>
      </c>
    </row>
    <row r="4" spans="1:8">
      <c r="B4" s="2">
        <v>2</v>
      </c>
      <c r="D4" s="2" t="s">
        <v>22</v>
      </c>
      <c r="F4" s="2"/>
      <c r="H4" s="2">
        <v>3</v>
      </c>
    </row>
    <row r="5" spans="1:8">
      <c r="B5" s="2">
        <v>3</v>
      </c>
      <c r="D5" s="2" t="s">
        <v>23</v>
      </c>
      <c r="F5" s="2" t="s">
        <v>23</v>
      </c>
      <c r="H5" s="2">
        <v>4</v>
      </c>
    </row>
    <row r="6" spans="1:8">
      <c r="B6" s="2">
        <v>4</v>
      </c>
      <c r="D6" s="2" t="s">
        <v>24</v>
      </c>
      <c r="F6" s="2" t="s">
        <v>24</v>
      </c>
      <c r="H6" s="2">
        <v>5</v>
      </c>
    </row>
    <row r="7" spans="1:8">
      <c r="B7" s="2">
        <v>5</v>
      </c>
      <c r="D7" s="2">
        <v>6</v>
      </c>
      <c r="F7" s="2">
        <v>6</v>
      </c>
      <c r="H7" s="2">
        <v>10</v>
      </c>
    </row>
    <row r="8" spans="1:8">
      <c r="B8" s="2">
        <v>6</v>
      </c>
      <c r="D8" s="2">
        <v>7</v>
      </c>
      <c r="F8" s="2"/>
      <c r="H8" s="2">
        <v>7</v>
      </c>
    </row>
    <row r="9" spans="1:8">
      <c r="B9" s="2">
        <v>7</v>
      </c>
      <c r="D9" s="2">
        <v>8</v>
      </c>
      <c r="F9" s="2">
        <v>8</v>
      </c>
      <c r="H9" s="2">
        <v>8</v>
      </c>
    </row>
    <row r="10" spans="1:8">
      <c r="B10" s="2">
        <v>8</v>
      </c>
      <c r="D10" s="2">
        <v>9</v>
      </c>
      <c r="F10" s="2"/>
      <c r="H10" s="2">
        <v>9</v>
      </c>
    </row>
    <row r="11" spans="1:8">
      <c r="B11" s="2">
        <v>9</v>
      </c>
      <c r="D11" s="2">
        <v>10</v>
      </c>
      <c r="F11" s="2">
        <v>10</v>
      </c>
      <c r="H11" s="2">
        <v>10</v>
      </c>
    </row>
    <row r="12" spans="1:8">
      <c r="B12" s="2">
        <v>10</v>
      </c>
      <c r="D12" s="2" t="s">
        <v>25</v>
      </c>
      <c r="F12" s="2" t="s">
        <v>25</v>
      </c>
      <c r="H12" s="2">
        <v>11</v>
      </c>
    </row>
    <row r="13" spans="1:8">
      <c r="B13" s="2"/>
      <c r="F13" s="2"/>
      <c r="H13" s="2"/>
    </row>
    <row r="14" spans="1:8">
      <c r="B14" s="2"/>
      <c r="F14" s="2"/>
      <c r="H14" s="2"/>
    </row>
    <row r="15" spans="1:8">
      <c r="B15" s="2"/>
      <c r="F15" s="2"/>
      <c r="H15" s="2"/>
    </row>
    <row r="16" spans="1:8">
      <c r="A16" t="s">
        <v>10</v>
      </c>
      <c r="B16" t="s">
        <v>26</v>
      </c>
      <c r="G16" t="s">
        <v>44</v>
      </c>
      <c r="H16">
        <f>VLOOKUP(10, B2:B12, 1,FALSE)</f>
        <v>10</v>
      </c>
    </row>
    <row r="18" spans="1:8">
      <c r="A18" t="s">
        <v>12</v>
      </c>
      <c r="B18" t="s">
        <v>27</v>
      </c>
      <c r="G18" t="s">
        <v>44</v>
      </c>
      <c r="H18">
        <f>MATCH("Raju",D2:D12,0)</f>
        <v>11</v>
      </c>
    </row>
    <row r="20" spans="1:8">
      <c r="A20" t="s">
        <v>28</v>
      </c>
      <c r="B20" t="s">
        <v>29</v>
      </c>
      <c r="G20" t="s">
        <v>44</v>
      </c>
      <c r="H20">
        <f>MATCH("Raju",D2:D12,0)-COUNTA(F2:F12)</f>
        <v>3</v>
      </c>
    </row>
    <row r="22" spans="1:8">
      <c r="A22" t="s">
        <v>30</v>
      </c>
      <c r="B22" t="s">
        <v>31</v>
      </c>
      <c r="G22" t="s">
        <v>44</v>
      </c>
      <c r="H22">
        <f>COUNTIF(H2:H12,10)</f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02965-7CE3-426D-A13E-4E7CF7484822}">
  <sheetPr>
    <tabColor rgb="FF0070C0"/>
  </sheetPr>
  <dimension ref="A2:Y25"/>
  <sheetViews>
    <sheetView tabSelected="1" workbookViewId="0">
      <selection activeCell="J17" sqref="J17"/>
    </sheetView>
  </sheetViews>
  <sheetFormatPr defaultRowHeight="14.25"/>
  <cols>
    <col min="8" max="9" width="11.625" customWidth="1"/>
  </cols>
  <sheetData>
    <row r="2" spans="2:25">
      <c r="B2" s="2" t="s">
        <v>32</v>
      </c>
      <c r="C2" s="2" t="s">
        <v>33</v>
      </c>
      <c r="D2" s="2" t="s">
        <v>34</v>
      </c>
      <c r="E2" s="2" t="s">
        <v>3</v>
      </c>
      <c r="G2" s="2" t="s">
        <v>35</v>
      </c>
      <c r="L2" t="s">
        <v>36</v>
      </c>
    </row>
    <row r="3" spans="2:25">
      <c r="B3" s="2" t="s">
        <v>37</v>
      </c>
      <c r="C3" s="2">
        <v>1</v>
      </c>
      <c r="D3" s="2">
        <v>12</v>
      </c>
      <c r="E3" s="2">
        <v>120</v>
      </c>
      <c r="F3" s="2"/>
      <c r="G3" s="2" t="s">
        <v>34</v>
      </c>
      <c r="H3" s="2" t="s">
        <v>47</v>
      </c>
      <c r="I3" s="2"/>
      <c r="K3" s="2" t="s">
        <v>38</v>
      </c>
      <c r="L3" s="2" t="s">
        <v>3</v>
      </c>
      <c r="M3" s="2" t="s">
        <v>48</v>
      </c>
      <c r="N3" s="2" t="s">
        <v>49</v>
      </c>
      <c r="O3" s="2" t="s">
        <v>50</v>
      </c>
      <c r="Q3" s="2" t="s">
        <v>32</v>
      </c>
      <c r="R3" s="2" t="s">
        <v>34</v>
      </c>
      <c r="S3" t="s">
        <v>51</v>
      </c>
      <c r="W3" t="s">
        <v>48</v>
      </c>
      <c r="X3" t="s">
        <v>49</v>
      </c>
      <c r="Y3" t="s">
        <v>50</v>
      </c>
    </row>
    <row r="4" spans="2:25">
      <c r="B4" s="2" t="s">
        <v>39</v>
      </c>
      <c r="C4" s="2">
        <v>2</v>
      </c>
      <c r="D4" s="2">
        <v>7</v>
      </c>
      <c r="E4" s="2">
        <v>100</v>
      </c>
      <c r="G4" s="2">
        <v>12</v>
      </c>
      <c r="H4" s="2">
        <f>SUMIF($D$3:$D$19, G4, $E$3:$E$19)</f>
        <v>600</v>
      </c>
      <c r="I4" s="2" t="str">
        <f>IF($H$4&gt;= H5, "Best", "Worst")</f>
        <v>Best</v>
      </c>
      <c r="K4" s="2" t="s">
        <v>40</v>
      </c>
      <c r="L4">
        <f>SUMIF($B$3:$B$19, K4, $E$3:$E$19)</f>
        <v>320</v>
      </c>
      <c r="M4">
        <f>_xlfn.MAXIFS($E$3:$E$19,$B$3:$B$19,K4)</f>
        <v>80</v>
      </c>
      <c r="N4">
        <f>_xlfn.MINIFS($E$3:$E$19,$B$3:$B$19,K4)</f>
        <v>80</v>
      </c>
      <c r="O4">
        <f>AVERAGEIFS($E$3:$E$19,$B$3:$B$19,K4)</f>
        <v>80</v>
      </c>
      <c r="Q4" t="s">
        <v>37</v>
      </c>
      <c r="R4">
        <v>12</v>
      </c>
      <c r="T4" cm="1">
        <f t="array" ref="T4">INDEX($E$3:$E$19,MATCH(1,($B$3:$B$19=Q4)*($D$3:$D$19=R4),0))</f>
        <v>120</v>
      </c>
      <c r="W4">
        <f>_xlfn.MAXIFS($E$3:$E$19,$B$3:$B$19,Q4,$D$3:$D$19,R4)</f>
        <v>120</v>
      </c>
      <c r="X4">
        <f>_xlfn.MINIFS($E$3:$E$19,$B$3:$B$19,Q4,$D$3:$D$19,R4)</f>
        <v>120</v>
      </c>
      <c r="Y4">
        <f>AVERAGEIFS($E$3:$E$19,$B$3:$B$19,Q4,$D$3:$D$19,R4)</f>
        <v>120</v>
      </c>
    </row>
    <row r="5" spans="2:25">
      <c r="B5" s="2" t="s">
        <v>40</v>
      </c>
      <c r="C5" s="2">
        <v>3</v>
      </c>
      <c r="D5" s="2">
        <v>10</v>
      </c>
      <c r="E5" s="2">
        <v>80</v>
      </c>
      <c r="G5" s="2">
        <v>10</v>
      </c>
      <c r="H5" s="2">
        <f>SUMIF($D$3:$D$19, G5, $E$3:$E$19)</f>
        <v>320</v>
      </c>
      <c r="I5" s="2" t="str">
        <f>IF($H$4&gt;= H6, "Best", "Worst")</f>
        <v>Worst</v>
      </c>
      <c r="K5" t="s">
        <v>39</v>
      </c>
      <c r="L5">
        <f t="shared" ref="L5:L6" si="0">SUMIF($B$3:$B$19, K5, $E$3:$E$19)</f>
        <v>800</v>
      </c>
      <c r="M5">
        <f t="shared" ref="M5:M6" si="1">_xlfn.MAXIFS($E$3:$E$19,$B$3:$B$19,K5)</f>
        <v>100</v>
      </c>
      <c r="N5">
        <f t="shared" ref="N5:N6" si="2">_xlfn.MINIFS($E$3:$E$19,$B$3:$B$19,K5)</f>
        <v>100</v>
      </c>
      <c r="O5">
        <f t="shared" ref="O5:O6" si="3">AVERAGEIFS($E$3:$E$19,$B$3:$B$19,K5)</f>
        <v>100</v>
      </c>
      <c r="Q5" t="s">
        <v>39</v>
      </c>
      <c r="R5">
        <v>7</v>
      </c>
      <c r="T5" cm="1">
        <f t="array" ref="T5">INDEX($E$3:$E$19,MATCH(1,($B$3:$B$19=Q5)*($D$3:$D$19=R5),0))</f>
        <v>100</v>
      </c>
      <c r="W5">
        <f t="shared" ref="W5:W6" si="4">_xlfn.MAXIFS($E$3:$E$19,$B$3:$B$19,Q5,$D$3:$D$19,R5)</f>
        <v>100</v>
      </c>
      <c r="X5">
        <f t="shared" ref="X5:X6" si="5">_xlfn.MINIFS($E$3:$E$19,$B$3:$B$19,Q5,$D$3:$D$19,R5)</f>
        <v>100</v>
      </c>
      <c r="Y5">
        <f t="shared" ref="Y5:Y6" si="6">AVERAGEIFS($E$3:$E$19,$B$3:$B$19,Q5,$D$3:$D$19,R5)</f>
        <v>100</v>
      </c>
    </row>
    <row r="6" spans="2:25">
      <c r="B6" s="2" t="s">
        <v>39</v>
      </c>
      <c r="C6" s="2">
        <v>2</v>
      </c>
      <c r="D6" s="2">
        <v>7</v>
      </c>
      <c r="E6" s="2">
        <v>100</v>
      </c>
      <c r="G6" s="2">
        <v>7</v>
      </c>
      <c r="H6" s="2">
        <f>SUMIF($D$3:$D$19, G6, $E$3:$E$19)</f>
        <v>800</v>
      </c>
      <c r="I6" s="2" t="str">
        <f t="shared" ref="I6" si="7">IF($H$4&gt;= H7, "Best", "Worst")</f>
        <v>Best</v>
      </c>
      <c r="K6" s="13" t="s">
        <v>37</v>
      </c>
      <c r="L6">
        <f t="shared" si="0"/>
        <v>600</v>
      </c>
      <c r="M6">
        <f t="shared" si="1"/>
        <v>120</v>
      </c>
      <c r="N6">
        <f t="shared" si="2"/>
        <v>120</v>
      </c>
      <c r="O6">
        <f t="shared" si="3"/>
        <v>120</v>
      </c>
      <c r="Q6" t="s">
        <v>52</v>
      </c>
      <c r="R6">
        <v>10</v>
      </c>
      <c r="T6" cm="1">
        <f t="array" ref="T6">INDEX($E$3:$E$19,MATCH(1,($B$3:$B$19=Q6)*($D$3:$D$19=R6),0))</f>
        <v>80</v>
      </c>
      <c r="W6">
        <f t="shared" si="4"/>
        <v>80</v>
      </c>
      <c r="X6">
        <f t="shared" si="5"/>
        <v>80</v>
      </c>
      <c r="Y6">
        <f t="shared" si="6"/>
        <v>80</v>
      </c>
    </row>
    <row r="7" spans="2:25">
      <c r="B7" s="2" t="s">
        <v>39</v>
      </c>
      <c r="C7" s="2">
        <v>2</v>
      </c>
      <c r="D7" s="2">
        <v>7</v>
      </c>
      <c r="E7" s="2">
        <v>100</v>
      </c>
      <c r="G7" s="2"/>
      <c r="H7" s="2"/>
      <c r="I7" s="2"/>
    </row>
    <row r="8" spans="2:25">
      <c r="B8" s="2" t="s">
        <v>39</v>
      </c>
      <c r="C8" s="2">
        <v>2</v>
      </c>
      <c r="D8" s="2">
        <v>7</v>
      </c>
      <c r="E8" s="2">
        <v>100</v>
      </c>
      <c r="H8" s="2"/>
      <c r="I8" s="2"/>
    </row>
    <row r="9" spans="2:25">
      <c r="B9" s="2" t="s">
        <v>39</v>
      </c>
      <c r="C9" s="2">
        <v>2</v>
      </c>
      <c r="D9" s="2">
        <v>7</v>
      </c>
      <c r="E9" s="2">
        <v>100</v>
      </c>
      <c r="H9" s="2"/>
      <c r="I9" s="2"/>
    </row>
    <row r="10" spans="2:25">
      <c r="B10" s="2" t="s">
        <v>39</v>
      </c>
      <c r="C10" s="2">
        <v>2</v>
      </c>
      <c r="D10" s="2">
        <v>7</v>
      </c>
      <c r="E10" s="2">
        <v>100</v>
      </c>
      <c r="H10" s="2"/>
      <c r="I10" s="2"/>
    </row>
    <row r="11" spans="2:25">
      <c r="B11" s="2" t="s">
        <v>39</v>
      </c>
      <c r="C11" s="2">
        <v>2</v>
      </c>
      <c r="D11" s="2">
        <v>7</v>
      </c>
      <c r="E11" s="2">
        <v>100</v>
      </c>
      <c r="H11" s="2"/>
      <c r="I11" s="2"/>
    </row>
    <row r="12" spans="2:25">
      <c r="B12" s="2" t="s">
        <v>39</v>
      </c>
      <c r="C12" s="2">
        <v>2</v>
      </c>
      <c r="D12" s="2">
        <v>7</v>
      </c>
      <c r="E12" s="2">
        <v>100</v>
      </c>
      <c r="H12" s="2"/>
      <c r="I12" s="2"/>
    </row>
    <row r="13" spans="2:25">
      <c r="B13" s="2" t="s">
        <v>37</v>
      </c>
      <c r="C13" s="2">
        <v>1</v>
      </c>
      <c r="D13" s="2">
        <v>12</v>
      </c>
      <c r="E13" s="2">
        <v>120</v>
      </c>
      <c r="H13" s="2"/>
      <c r="I13" s="2"/>
    </row>
    <row r="14" spans="2:25">
      <c r="B14" s="2" t="s">
        <v>37</v>
      </c>
      <c r="C14" s="2">
        <v>1</v>
      </c>
      <c r="D14" s="2">
        <v>12</v>
      </c>
      <c r="E14" s="2">
        <v>120</v>
      </c>
      <c r="H14" s="2"/>
      <c r="I14" s="2"/>
    </row>
    <row r="15" spans="2:25">
      <c r="B15" s="2" t="s">
        <v>37</v>
      </c>
      <c r="C15" s="2">
        <v>1</v>
      </c>
      <c r="D15" s="2">
        <v>12</v>
      </c>
      <c r="E15" s="2">
        <v>120</v>
      </c>
      <c r="H15" s="2"/>
      <c r="I15" s="2"/>
    </row>
    <row r="16" spans="2:25">
      <c r="B16" s="2" t="s">
        <v>37</v>
      </c>
      <c r="C16" s="2">
        <v>1</v>
      </c>
      <c r="D16" s="2">
        <v>12</v>
      </c>
      <c r="E16" s="2">
        <v>120</v>
      </c>
      <c r="H16" s="2"/>
      <c r="I16" s="2"/>
    </row>
    <row r="17" spans="1:9">
      <c r="B17" s="2" t="s">
        <v>40</v>
      </c>
      <c r="C17" s="2">
        <v>3</v>
      </c>
      <c r="D17" s="2">
        <v>10</v>
      </c>
      <c r="E17" s="2">
        <v>80</v>
      </c>
      <c r="H17" s="2"/>
      <c r="I17" s="2"/>
    </row>
    <row r="18" spans="1:9">
      <c r="B18" s="2" t="s">
        <v>40</v>
      </c>
      <c r="C18" s="2">
        <v>3</v>
      </c>
      <c r="D18" s="2">
        <v>10</v>
      </c>
      <c r="E18" s="2">
        <v>80</v>
      </c>
      <c r="H18" s="2"/>
      <c r="I18" s="2"/>
    </row>
    <row r="19" spans="1:9">
      <c r="B19" s="2" t="s">
        <v>40</v>
      </c>
      <c r="C19" s="2">
        <v>3</v>
      </c>
      <c r="D19" s="2">
        <v>10</v>
      </c>
      <c r="E19" s="2">
        <v>80</v>
      </c>
      <c r="H19" s="2"/>
      <c r="I19" s="2"/>
    </row>
    <row r="23" spans="1:9">
      <c r="A23" t="s">
        <v>41</v>
      </c>
      <c r="B23" t="s">
        <v>45</v>
      </c>
    </row>
    <row r="25" spans="1:9">
      <c r="A25" t="s">
        <v>42</v>
      </c>
      <c r="B25" t="s">
        <v>46</v>
      </c>
    </row>
  </sheetData>
  <dataValidations count="1">
    <dataValidation type="list" allowBlank="1" showInputMessage="1" showErrorMessage="1" sqref="G7" xr:uid="{9CBE3CEC-E9F0-4C9D-9B0E-CDEFEEC0A5EC}">
      <formula1>$C$3:$C$19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Module 2</vt:lpstr>
      <vt:lpstr>Assignment 1</vt:lpstr>
      <vt:lpstr>Assignment 2</vt:lpstr>
      <vt:lpstr>Assignment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Hedayet Ali</dc:creator>
  <cp:lastModifiedBy>User</cp:lastModifiedBy>
  <dcterms:created xsi:type="dcterms:W3CDTF">2025-09-14T09:20:10Z</dcterms:created>
  <dcterms:modified xsi:type="dcterms:W3CDTF">2025-11-22T15:46:17Z</dcterms:modified>
</cp:coreProperties>
</file>
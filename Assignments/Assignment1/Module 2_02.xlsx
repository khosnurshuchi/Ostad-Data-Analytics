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C:\Users\User\Downloads\Compressed\Module 2 xlsx files-20251119T164915Z-1-001\Module 2 xlsx files\"/>
    </mc:Choice>
  </mc:AlternateContent>
  <xr:revisionPtr revIDLastSave="0" documentId="13_ncr:1_{41E98145-012A-4D93-B349-6FAB641F0222}" xr6:coauthVersionLast="47" xr6:coauthVersionMax="47" xr10:uidLastSave="{00000000-0000-0000-0000-000000000000}"/>
  <bookViews>
    <workbookView xWindow="-120" yWindow="-120" windowWidth="29040" windowHeight="15720" xr2:uid="{5438869F-6C44-46F2-9C90-693534147A57}"/>
  </bookViews>
  <sheets>
    <sheet name="Assignment 1" sheetId="1" r:id="rId1"/>
    <sheet name="Dataset" sheetId="2" r:id="rId2"/>
    <sheet name="Assignment 2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3" i="3" l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" i="1"/>
  <c r="K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G2" i="3"/>
  <c r="H2" i="3" s="1"/>
  <c r="I2" i="3" s="1"/>
  <c r="J2" i="3" s="1"/>
  <c r="K2" i="3" s="1"/>
  <c r="L2" i="3" s="1"/>
  <c r="M2" i="3" s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<sst xmlns="http://schemas.openxmlformats.org/spreadsheetml/2006/main" count="588" uniqueCount="310">
  <si>
    <t>Employee ID</t>
  </si>
  <si>
    <t>Sales</t>
  </si>
  <si>
    <t>Name</t>
  </si>
  <si>
    <t>teritorry_name</t>
  </si>
  <si>
    <t>dealer_name</t>
  </si>
  <si>
    <t>Md Sagor Mia</t>
  </si>
  <si>
    <t>Bahaddarhat</t>
  </si>
  <si>
    <t xml:space="preserve">Bhai Bhai Enterprise-Baizid Bostami              </t>
  </si>
  <si>
    <t>Md. Ibrahim Khalil</t>
  </si>
  <si>
    <t>Thangem Uddin</t>
  </si>
  <si>
    <t>Md Anowar Hossain</t>
  </si>
  <si>
    <t>Kamal Store</t>
  </si>
  <si>
    <t>Md Jafor Ahammed</t>
  </si>
  <si>
    <t>Md. Tanjim Hossain</t>
  </si>
  <si>
    <t>Saddam Hossain</t>
  </si>
  <si>
    <t>Habibur Rahman</t>
  </si>
  <si>
    <t>Safee Enterprise</t>
  </si>
  <si>
    <t xml:space="preserve">Md. Imran Hossen </t>
  </si>
  <si>
    <t>Md. Saiful Islam</t>
  </si>
  <si>
    <t>Tashfiq Arman Siddique</t>
  </si>
  <si>
    <t>Kayes Kabir</t>
  </si>
  <si>
    <t>C&amp;B</t>
  </si>
  <si>
    <t>DS Enterprise</t>
  </si>
  <si>
    <t>Iqbal Hosen</t>
  </si>
  <si>
    <t>Irfan Traders- Lichubagan</t>
  </si>
  <si>
    <t>Salman Farse</t>
  </si>
  <si>
    <t xml:space="preserve">Foroz Kamal </t>
  </si>
  <si>
    <t>Nur Ponno Mela- C&amp;B</t>
  </si>
  <si>
    <t>Marchel Chakma</t>
  </si>
  <si>
    <t>Md. Rasel</t>
  </si>
  <si>
    <t>Bappy Barua</t>
  </si>
  <si>
    <t>Coxs Bazar</t>
  </si>
  <si>
    <t>Arveen Corporation</t>
  </si>
  <si>
    <t>Sohel Ahmad</t>
  </si>
  <si>
    <t>Hazi fazal Karim EnterpriseMoheskhali</t>
  </si>
  <si>
    <t>Mohammad Faruk</t>
  </si>
  <si>
    <t>Heaven Distribution-Teknaf</t>
  </si>
  <si>
    <t>Okasha Bin Yusuf</t>
  </si>
  <si>
    <t>Akter Hossain</t>
  </si>
  <si>
    <t>Ma Moni Enterprise</t>
  </si>
  <si>
    <t>Md Momen</t>
  </si>
  <si>
    <t xml:space="preserve"> Md. Joinal Uddin </t>
  </si>
  <si>
    <t>Sazzad Electric Service</t>
  </si>
  <si>
    <t xml:space="preserve"> Sohel Rana  </t>
  </si>
  <si>
    <t>Anisul Mostafa</t>
  </si>
  <si>
    <t>Md Kawsar</t>
  </si>
  <si>
    <t>Ripon Barua</t>
  </si>
  <si>
    <t>Dampara</t>
  </si>
  <si>
    <t>Iris Enterprise</t>
  </si>
  <si>
    <t>Bablu Hossain</t>
  </si>
  <si>
    <t>Next Associates- Khulshi</t>
  </si>
  <si>
    <t>Hyder Ali</t>
  </si>
  <si>
    <t>Md.Foysal Hossain</t>
  </si>
  <si>
    <t>Mohammed Abdul Gafur</t>
  </si>
  <si>
    <t>Mr.Aprajit Das</t>
  </si>
  <si>
    <t>Nazmul Hasan Tusar</t>
  </si>
  <si>
    <t>Aminul Islam</t>
  </si>
  <si>
    <t>Dewanhat</t>
  </si>
  <si>
    <t xml:space="preserve">Humaira Enterprise- CEPZ </t>
  </si>
  <si>
    <t>Md Abdullah</t>
  </si>
  <si>
    <t>Md. Shihab Sardar</t>
  </si>
  <si>
    <t>Sajib Howlader</t>
  </si>
  <si>
    <t>Toukir Mahmud Irad</t>
  </si>
  <si>
    <t>Anisur Rahman</t>
  </si>
  <si>
    <t>POP Distribution Ltd.- Halishahar</t>
  </si>
  <si>
    <t>Jabed Hosen</t>
  </si>
  <si>
    <t>Md Kawser Hossain</t>
  </si>
  <si>
    <t>Md Maksudur Rahman</t>
  </si>
  <si>
    <t>Md Shihab Uddin</t>
  </si>
  <si>
    <t>Md. Nuruzzaman Al-Amin</t>
  </si>
  <si>
    <t>Md. Rafique</t>
  </si>
  <si>
    <t>Md. Yeasin Didar</t>
  </si>
  <si>
    <t>Mohammaed Shakil Khan</t>
  </si>
  <si>
    <t>Rubel Ahmed</t>
  </si>
  <si>
    <t>Md Anwar Hossen</t>
  </si>
  <si>
    <t xml:space="preserve">Fotikchori </t>
  </si>
  <si>
    <t>Goni Enterprise- Khagrachor</t>
  </si>
  <si>
    <t>Rasel Meah</t>
  </si>
  <si>
    <t>Md. Nur Alam</t>
  </si>
  <si>
    <t>Najim Poultry Farm- Fatikchar</t>
  </si>
  <si>
    <t>Md. Helim Meah</t>
  </si>
  <si>
    <t>Nipa Enterprise- Rangamati</t>
  </si>
  <si>
    <t>Md. Riag Uddin</t>
  </si>
  <si>
    <t>Hamed Hasan Emon</t>
  </si>
  <si>
    <t xml:space="preserve">Shanaz Trading- Hatazari </t>
  </si>
  <si>
    <t>Md. Abdur Rahim</t>
  </si>
  <si>
    <t>Md. Shihab Uddin</t>
  </si>
  <si>
    <t>Md. Rejaul Karim-P</t>
  </si>
  <si>
    <t>Keranihat</t>
  </si>
  <si>
    <t>Abdul Momen Enterprise- Keranirhat</t>
  </si>
  <si>
    <t>Md.Hafizur Rahman</t>
  </si>
  <si>
    <t>J.H. Trading- Patiya</t>
  </si>
  <si>
    <t>Mijanur Rahman</t>
  </si>
  <si>
    <t>Wasiuzzaman</t>
  </si>
  <si>
    <t>Madina Enterprise- Banderbon</t>
  </si>
  <si>
    <t>Raihanul Islam</t>
  </si>
  <si>
    <t>Mumu Enterprise- Lohagara</t>
  </si>
  <si>
    <t xml:space="preserve">Md.Rejaul Karim-B </t>
  </si>
  <si>
    <t>Sheba Enterprise- Bashkhali</t>
  </si>
  <si>
    <t>Md.Arfat Hossen</t>
  </si>
  <si>
    <t>Uttom Store-Kornofuly</t>
  </si>
  <si>
    <t>Md. Majbahuddin</t>
  </si>
  <si>
    <t>Sitakunda</t>
  </si>
  <si>
    <t>Gony Store</t>
  </si>
  <si>
    <t>Md. Shohidul Islam</t>
  </si>
  <si>
    <t>Mohammed Arif Hossain</t>
  </si>
  <si>
    <t>Md.Ziaur Rahman</t>
  </si>
  <si>
    <t>Hanif Traders</t>
  </si>
  <si>
    <t>Bimal Chandra Das</t>
  </si>
  <si>
    <t>Simi &amp; Toba Enterprise</t>
  </si>
  <si>
    <t>Himel Barua</t>
  </si>
  <si>
    <t>Tania Store</t>
  </si>
  <si>
    <t>Md Arman</t>
  </si>
  <si>
    <t>Md.Imon Mia</t>
  </si>
  <si>
    <t xml:space="preserve"> Mr.Dhonu Chandrow Rishi  </t>
  </si>
  <si>
    <t>B.Baria</t>
  </si>
  <si>
    <t>Anik Enterprise-BBaria</t>
  </si>
  <si>
    <t>Md Rafikul Alam</t>
  </si>
  <si>
    <t>Md.Ashikur Rahman</t>
  </si>
  <si>
    <t>Lamia &amp; Lisha Enterprise</t>
  </si>
  <si>
    <t>Md. Sohag Mlia</t>
  </si>
  <si>
    <t>Mim Store-Asuganj</t>
  </si>
  <si>
    <t>Kamrul Hasan</t>
  </si>
  <si>
    <t>Shourov Store</t>
  </si>
  <si>
    <t>Md. Basir Uddin</t>
  </si>
  <si>
    <t>Choddagram</t>
  </si>
  <si>
    <t>Hamdan Enterprise</t>
  </si>
  <si>
    <t>Md. Kobir Hosen Liton</t>
  </si>
  <si>
    <t>Maksudul Hasan Shanto</t>
  </si>
  <si>
    <t>IK Sales Center</t>
  </si>
  <si>
    <t>Sohel Ahmed</t>
  </si>
  <si>
    <t>Mofizul Islam</t>
  </si>
  <si>
    <t>Moslem Traders</t>
  </si>
  <si>
    <t>Younus Mia</t>
  </si>
  <si>
    <t>Sayed Store- Gunoboti</t>
  </si>
  <si>
    <t>Ismail hossain</t>
  </si>
  <si>
    <t>Cumilla</t>
  </si>
  <si>
    <t>Bashar Enterprise</t>
  </si>
  <si>
    <t>Abu Kawsar</t>
  </si>
  <si>
    <t>Hasan Hossain Traders</t>
  </si>
  <si>
    <t>Md. Bashirullah</t>
  </si>
  <si>
    <t>Maa Enterprise- Burichang</t>
  </si>
  <si>
    <t>Sajedul Islam</t>
  </si>
  <si>
    <t>Md. Naeem Hossain</t>
  </si>
  <si>
    <t>Mohajan Traders Companyganj</t>
  </si>
  <si>
    <t>Mudasser Hossain Chowdury</t>
  </si>
  <si>
    <t>Abu Md Shamim Arif</t>
  </si>
  <si>
    <t>Nabilah Traders</t>
  </si>
  <si>
    <t>Joy Saha</t>
  </si>
  <si>
    <t>Md. Kamrul Hasan</t>
  </si>
  <si>
    <t xml:space="preserve">Md. Shahjahan kobir patwary </t>
  </si>
  <si>
    <t>Ziaur rahman</t>
  </si>
  <si>
    <t>Jobayed Hossain</t>
  </si>
  <si>
    <t>Feni</t>
  </si>
  <si>
    <t>Ahmed Traders-Feni</t>
  </si>
  <si>
    <t>Md Sabuj Mia</t>
  </si>
  <si>
    <t>Md.Kobirul Hassan</t>
  </si>
  <si>
    <t>Priotosh Das</t>
  </si>
  <si>
    <t>Riad Hossen</t>
  </si>
  <si>
    <t>Shahadeb Nath</t>
  </si>
  <si>
    <t>Tazul Hossain</t>
  </si>
  <si>
    <t>Hazi Sonu Miah &amp; Sons</t>
  </si>
  <si>
    <t>Md Badal Mia</t>
  </si>
  <si>
    <t>Gauripur</t>
  </si>
  <si>
    <t>Ahona Enterprise</t>
  </si>
  <si>
    <t>Md. Enamul Haque</t>
  </si>
  <si>
    <t>Alif Enterprise- Gouripur</t>
  </si>
  <si>
    <t>Md. Jashim Hawlader</t>
  </si>
  <si>
    <t>Minhajul Islam</t>
  </si>
  <si>
    <t xml:space="preserve">Din Mohammad </t>
  </si>
  <si>
    <t>Maa Baba Business Zone</t>
  </si>
  <si>
    <t>Md.Mohi Uddin</t>
  </si>
  <si>
    <t>Oyshi Enterprise</t>
  </si>
  <si>
    <t>Md Rasel Hossen</t>
  </si>
  <si>
    <t>Shanker Rao Nagh</t>
  </si>
  <si>
    <t>Md. Shoriful Islam</t>
  </si>
  <si>
    <t>Shariza Enterprise</t>
  </si>
  <si>
    <t xml:space="preserve">Fazlul Karim </t>
  </si>
  <si>
    <t>Laksham</t>
  </si>
  <si>
    <t>Abdur Rahman Enterprise- Monohorgang</t>
  </si>
  <si>
    <t>Miton Chandar Das</t>
  </si>
  <si>
    <t>Belal Enterprise-barura</t>
  </si>
  <si>
    <t>Salman Hossain</t>
  </si>
  <si>
    <t>Md. Ismail Hossain</t>
  </si>
  <si>
    <t>Chinta Haron Saha</t>
  </si>
  <si>
    <t>Md. Masum Billah</t>
  </si>
  <si>
    <t>Saiful Islam</t>
  </si>
  <si>
    <t>Jahanara Enterprise- Natherpetua</t>
  </si>
  <si>
    <t>Abdul Razzak Shubo</t>
  </si>
  <si>
    <t>ND Cumilla</t>
  </si>
  <si>
    <t>Sakib Ata Kol</t>
  </si>
  <si>
    <t>Md. Nazmul Hasan</t>
  </si>
  <si>
    <t>Md.Mazharul Islam</t>
  </si>
  <si>
    <t>Md.Tanvir Hossain</t>
  </si>
  <si>
    <t>Nahidul Islam</t>
  </si>
  <si>
    <t>Md. shekh Kamal</t>
  </si>
  <si>
    <t>ND Feni</t>
  </si>
  <si>
    <t>Al Marwa Enterprise</t>
  </si>
  <si>
    <t xml:space="preserve">Md. Sakil </t>
  </si>
  <si>
    <t>Premium Trading Corporation-Feni</t>
  </si>
  <si>
    <t>Md. Shahidul Islam</t>
  </si>
  <si>
    <t>Shiful Islam</t>
  </si>
  <si>
    <t>Oliur Rahman</t>
  </si>
  <si>
    <t>Badda_ND</t>
  </si>
  <si>
    <t>Adiba Mart</t>
  </si>
  <si>
    <t>Md. Abir Hossain</t>
  </si>
  <si>
    <t>Banasree</t>
  </si>
  <si>
    <t>Tanim Traders</t>
  </si>
  <si>
    <t>Md. Al Amin</t>
  </si>
  <si>
    <t>Md. Parvez Hossain</t>
  </si>
  <si>
    <t>Mohammad Ali</t>
  </si>
  <si>
    <t>Mosarraf hossain</t>
  </si>
  <si>
    <t>Md. Nazrul Islam</t>
  </si>
  <si>
    <t>Demra</t>
  </si>
  <si>
    <t>Abdulla Traders</t>
  </si>
  <si>
    <t>Md. Toriqul Islam</t>
  </si>
  <si>
    <t xml:space="preserve">Md.Hanif  </t>
  </si>
  <si>
    <t>Md.Kabir</t>
  </si>
  <si>
    <t>Mr. Mir Riar</t>
  </si>
  <si>
    <t>Imam Uddin</t>
  </si>
  <si>
    <t>Demra_ND</t>
  </si>
  <si>
    <t>Sun Consumer Products</t>
  </si>
  <si>
    <t>Md Shaiful Alam</t>
  </si>
  <si>
    <t>Md.Mohasin Molla</t>
  </si>
  <si>
    <t>Sohel Rana</t>
  </si>
  <si>
    <t>Abu Sayeed</t>
  </si>
  <si>
    <t>Khilgaon</t>
  </si>
  <si>
    <t>Pioneer Distribution</t>
  </si>
  <si>
    <t xml:space="preserve">Martaza Amin </t>
  </si>
  <si>
    <t xml:space="preserve">Md. Emam Mehedi </t>
  </si>
  <si>
    <t>Md. Rasel Mozumder</t>
  </si>
  <si>
    <t>Mehadi Hassan</t>
  </si>
  <si>
    <t>Murad hossen</t>
  </si>
  <si>
    <t>Tarikul Islam</t>
  </si>
  <si>
    <t>Matiur Rahman</t>
  </si>
  <si>
    <t>Khilgaon_ND</t>
  </si>
  <si>
    <t>Izayan Enterprise</t>
  </si>
  <si>
    <t>Md Jahirul Islam</t>
  </si>
  <si>
    <t>Md. Ebrahim Molla</t>
  </si>
  <si>
    <t>Md.Lal Mia</t>
  </si>
  <si>
    <t>Md.Masum Billah</t>
  </si>
  <si>
    <t>Mahedi Hasan</t>
  </si>
  <si>
    <t>Ma Babar Dowa Traders</t>
  </si>
  <si>
    <t>Md Sorif Hossain</t>
  </si>
  <si>
    <t>Shahin Mia</t>
  </si>
  <si>
    <t>Md. Abdur Rof</t>
  </si>
  <si>
    <t>Kishoregonj</t>
  </si>
  <si>
    <t>Abu Taher Traders-Kishorgonj</t>
  </si>
  <si>
    <t>Anol Das</t>
  </si>
  <si>
    <t>B and K Electronics</t>
  </si>
  <si>
    <t>Asadullah</t>
  </si>
  <si>
    <t>Md. Akter Uddin</t>
  </si>
  <si>
    <t>Md. Habibur Rahman</t>
  </si>
  <si>
    <t>J S R Enterprise</t>
  </si>
  <si>
    <t>Md Ali Ahmed</t>
  </si>
  <si>
    <t>Maa Babar Doa ent astogram</t>
  </si>
  <si>
    <t>Kazi Abdus Samad</t>
  </si>
  <si>
    <t>Mahabub Enterprise</t>
  </si>
  <si>
    <t>Md Ruman Shah</t>
  </si>
  <si>
    <t>Modina Enterprise- Pakundia</t>
  </si>
  <si>
    <t>Md. Jinnat Hossain</t>
  </si>
  <si>
    <t>Shormi Traders</t>
  </si>
  <si>
    <t>Alamgir Hossain</t>
  </si>
  <si>
    <t>Shovas Store</t>
  </si>
  <si>
    <t>Md. Faysal Mia</t>
  </si>
  <si>
    <t>Narsingdi</t>
  </si>
  <si>
    <t>Ayesha Traders</t>
  </si>
  <si>
    <t>Md. Sopiqul Islam</t>
  </si>
  <si>
    <t>Sumon Mia</t>
  </si>
  <si>
    <t>Md Liton Al Mamun</t>
  </si>
  <si>
    <t>Khalifatul Umam Paribohon Garage</t>
  </si>
  <si>
    <t>Ali Ahamed Jitu</t>
  </si>
  <si>
    <t>Polly Enterprise-Norsingdi</t>
  </si>
  <si>
    <t>Millat Sheikh</t>
  </si>
  <si>
    <t>Roich Enterprise</t>
  </si>
  <si>
    <t>Mr.Smarat</t>
  </si>
  <si>
    <t>SHAYESTA KHAR BAZAR</t>
  </si>
  <si>
    <t>Rokibul Islam</t>
  </si>
  <si>
    <t>Firoz Mia</t>
  </si>
  <si>
    <t>Tahsin Enterprise</t>
  </si>
  <si>
    <t>Ahsan Sharif</t>
  </si>
  <si>
    <t>Shantinagar</t>
  </si>
  <si>
    <t>City Marketing International</t>
  </si>
  <si>
    <t>Md Alamin</t>
  </si>
  <si>
    <t>Md. Javed Ahamed</t>
  </si>
  <si>
    <t>Md. Mustafizur Rahman</t>
  </si>
  <si>
    <t>Md.Mehedi Hassan</t>
  </si>
  <si>
    <t>Md.Rezaul Karim</t>
  </si>
  <si>
    <t>Khandokar Shohanur Rahman</t>
  </si>
  <si>
    <t>Vatara</t>
  </si>
  <si>
    <t>Matri Vander</t>
  </si>
  <si>
    <t>Md. Bipul Ahmed</t>
  </si>
  <si>
    <t>Md. Mehadi Hasan</t>
  </si>
  <si>
    <t xml:space="preserve">Md. Nazim Uddin </t>
  </si>
  <si>
    <t>Tauhidul Islam</t>
  </si>
  <si>
    <t>Sl</t>
  </si>
  <si>
    <r>
      <t xml:space="preserve">Pls find the report these questions by using </t>
    </r>
    <r>
      <rPr>
        <b/>
        <sz val="11"/>
        <color theme="1"/>
        <rFont val="Aptos Narrow"/>
        <family val="2"/>
        <scheme val="minor"/>
      </rPr>
      <t xml:space="preserve">Dataset </t>
    </r>
  </si>
  <si>
    <t>Identify the Name of Employee ID wise</t>
  </si>
  <si>
    <t>Identify the Territory of Employee ID wise</t>
  </si>
  <si>
    <t>Identify the Dealer_name of Employee ID wise</t>
  </si>
  <si>
    <t>Region</t>
  </si>
  <si>
    <t>DH-02</t>
  </si>
  <si>
    <t>DH-04</t>
  </si>
  <si>
    <t>DH-01</t>
  </si>
  <si>
    <t>DH-03</t>
  </si>
  <si>
    <t>CTG</t>
  </si>
  <si>
    <t>MYN</t>
  </si>
  <si>
    <t>Month</t>
  </si>
  <si>
    <t>Task 1</t>
  </si>
  <si>
    <t>Identify the CTG Region Sales as per given month by Using Index Match from above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</si>
</sst>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\-yy;@"/>
  </numFmts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3" fontId="0" fillId="0" borderId="0" xfId="0" applyNumberFormat="1" applyAlignment="1">
      <alignment horizontal="center"/>
    </xf>
    <xf numFmtId="15" fontId="0" fillId="0" borderId="0" xfId="0" applyNumberFormat="1"/>
    <xf numFmtId="16" fontId="0" fillId="0" borderId="0" xfId="0" applyNumberFormat="1"/>
    <xf numFmtId="0" fontId="0" fillId="0" borderId="0" xfId="0" applyAlignment="1">
      <alignment horizontal="center"/>
    </xf>
    <xf numFmtId="0" fontId="0" fillId="2" borderId="0" xfId="0" applyFill="1"/>
    <xf numFmtId="164" fontId="0" fillId="0" borderId="0" xfId="0" applyNumberFormat="1"/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zdairybd-my.sharepoint.com/personal/hedayet_ali_newzealanddairybd_com/Documents/C%20Drive%20Never%20Delete/NZDL%20Operational%20Details/Power%20BI%20Tutorial/New%20Batch%20Question/Exam%20Week%201%20Assignment%20for%20Batch%20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ignment 1"/>
      <sheetName val="Assignment 2"/>
      <sheetName val="Assignment 3"/>
      <sheetName val="Assignment 4"/>
      <sheetName val="Sheet2"/>
      <sheetName val="Sheet1"/>
      <sheetName val="Dataset 1"/>
      <sheetName val="Assignment 5"/>
      <sheetName val="Dataset 2"/>
    </sheetNames>
    <sheetDataSet>
      <sheetData sheetId="0"/>
      <sheetData sheetId="1"/>
      <sheetData sheetId="2"/>
      <sheetData sheetId="3"/>
      <sheetData sheetId="4"/>
      <sheetData sheetId="5">
        <row r="4">
          <cell r="A4">
            <v>12</v>
          </cell>
          <cell r="B4">
            <v>69141.319999999992</v>
          </cell>
        </row>
        <row r="5">
          <cell r="A5">
            <v>155</v>
          </cell>
          <cell r="B5">
            <v>161104.80000000008</v>
          </cell>
        </row>
        <row r="6">
          <cell r="A6">
            <v>156</v>
          </cell>
          <cell r="B6">
            <v>56077.799999999996</v>
          </cell>
        </row>
        <row r="7">
          <cell r="A7">
            <v>157</v>
          </cell>
          <cell r="B7">
            <v>54413.919999999976</v>
          </cell>
        </row>
        <row r="8">
          <cell r="A8">
            <v>172</v>
          </cell>
          <cell r="B8">
            <v>88590.6</v>
          </cell>
        </row>
        <row r="9">
          <cell r="A9">
            <v>173</v>
          </cell>
          <cell r="B9">
            <v>93313.459999999992</v>
          </cell>
        </row>
        <row r="10">
          <cell r="A10">
            <v>189</v>
          </cell>
          <cell r="B10">
            <v>66017.399999999994</v>
          </cell>
        </row>
        <row r="11">
          <cell r="A11">
            <v>193</v>
          </cell>
          <cell r="B11">
            <v>59921.599999999999</v>
          </cell>
        </row>
        <row r="12">
          <cell r="A12">
            <v>194</v>
          </cell>
          <cell r="B12">
            <v>81058.200000000012</v>
          </cell>
        </row>
        <row r="13">
          <cell r="A13">
            <v>195</v>
          </cell>
          <cell r="B13">
            <v>35955.999999999978</v>
          </cell>
        </row>
        <row r="14">
          <cell r="A14">
            <v>200</v>
          </cell>
          <cell r="B14">
            <v>5374.0400000000009</v>
          </cell>
        </row>
        <row r="15">
          <cell r="A15">
            <v>201</v>
          </cell>
          <cell r="B15">
            <v>80296.2</v>
          </cell>
        </row>
        <row r="16">
          <cell r="A16">
            <v>220</v>
          </cell>
          <cell r="B16">
            <v>15710.66</v>
          </cell>
        </row>
        <row r="17">
          <cell r="A17">
            <v>271</v>
          </cell>
          <cell r="B17">
            <v>198716.20000000007</v>
          </cell>
        </row>
        <row r="18">
          <cell r="A18">
            <v>273</v>
          </cell>
          <cell r="B18">
            <v>74646.200000000012</v>
          </cell>
        </row>
        <row r="19">
          <cell r="A19">
            <v>283</v>
          </cell>
          <cell r="B19">
            <v>0</v>
          </cell>
        </row>
        <row r="20">
          <cell r="A20">
            <v>284</v>
          </cell>
          <cell r="B20">
            <v>87421.400000000009</v>
          </cell>
        </row>
        <row r="21">
          <cell r="A21">
            <v>286</v>
          </cell>
          <cell r="B21">
            <v>106534.20000000001</v>
          </cell>
        </row>
        <row r="22">
          <cell r="A22">
            <v>287</v>
          </cell>
          <cell r="B22">
            <v>21933.920000000002</v>
          </cell>
        </row>
        <row r="23">
          <cell r="A23">
            <v>288</v>
          </cell>
          <cell r="B23">
            <v>36685.94</v>
          </cell>
        </row>
        <row r="24">
          <cell r="A24">
            <v>289</v>
          </cell>
          <cell r="B24">
            <v>54280.000000000015</v>
          </cell>
        </row>
        <row r="25">
          <cell r="A25">
            <v>291</v>
          </cell>
          <cell r="B25">
            <v>145350.79919999992</v>
          </cell>
        </row>
        <row r="26">
          <cell r="A26">
            <v>292</v>
          </cell>
          <cell r="B26">
            <v>112556.51999999996</v>
          </cell>
        </row>
        <row r="27">
          <cell r="A27">
            <v>293</v>
          </cell>
          <cell r="B27">
            <v>133816.4</v>
          </cell>
        </row>
        <row r="28">
          <cell r="A28">
            <v>294</v>
          </cell>
          <cell r="B28">
            <v>22579.519999999997</v>
          </cell>
        </row>
        <row r="29">
          <cell r="A29">
            <v>296</v>
          </cell>
          <cell r="B29">
            <v>132009.45999999996</v>
          </cell>
        </row>
        <row r="30">
          <cell r="A30">
            <v>297</v>
          </cell>
          <cell r="B30">
            <v>0</v>
          </cell>
        </row>
        <row r="31">
          <cell r="A31">
            <v>298</v>
          </cell>
          <cell r="B31">
            <v>129473.52</v>
          </cell>
        </row>
        <row r="32">
          <cell r="A32">
            <v>316</v>
          </cell>
          <cell r="B32">
            <v>159471.56000000003</v>
          </cell>
        </row>
        <row r="33">
          <cell r="A33">
            <v>319</v>
          </cell>
          <cell r="B33">
            <v>167157.76999999999</v>
          </cell>
        </row>
        <row r="34">
          <cell r="A34">
            <v>320</v>
          </cell>
          <cell r="B34">
            <v>203895.44</v>
          </cell>
        </row>
        <row r="35">
          <cell r="A35">
            <v>322</v>
          </cell>
          <cell r="B35">
            <v>135204.4</v>
          </cell>
        </row>
        <row r="36">
          <cell r="A36">
            <v>323</v>
          </cell>
          <cell r="B36">
            <v>274676.2</v>
          </cell>
        </row>
        <row r="37">
          <cell r="A37">
            <v>324</v>
          </cell>
          <cell r="B37">
            <v>38155.4</v>
          </cell>
        </row>
        <row r="38">
          <cell r="A38">
            <v>325</v>
          </cell>
          <cell r="B38">
            <v>63371.32</v>
          </cell>
        </row>
        <row r="39">
          <cell r="A39">
            <v>350</v>
          </cell>
          <cell r="B39">
            <v>83676.740000000005</v>
          </cell>
        </row>
        <row r="40">
          <cell r="A40">
            <v>378</v>
          </cell>
          <cell r="B40">
            <v>65266.199999999983</v>
          </cell>
        </row>
        <row r="41">
          <cell r="A41">
            <v>460</v>
          </cell>
          <cell r="B41">
            <v>142360.51999999996</v>
          </cell>
        </row>
        <row r="42">
          <cell r="A42">
            <v>469</v>
          </cell>
          <cell r="B42">
            <v>32329.479999999996</v>
          </cell>
        </row>
        <row r="43">
          <cell r="A43">
            <v>474</v>
          </cell>
          <cell r="B43">
            <v>36626.120000000003</v>
          </cell>
        </row>
        <row r="44">
          <cell r="A44">
            <v>477</v>
          </cell>
          <cell r="B44">
            <v>13552.28</v>
          </cell>
        </row>
        <row r="45">
          <cell r="A45">
            <v>480</v>
          </cell>
          <cell r="B45">
            <v>0</v>
          </cell>
        </row>
        <row r="46">
          <cell r="A46">
            <v>482</v>
          </cell>
          <cell r="B46">
            <v>17876.86</v>
          </cell>
        </row>
        <row r="47">
          <cell r="A47">
            <v>499</v>
          </cell>
          <cell r="B47">
            <v>40039.360000000001</v>
          </cell>
        </row>
        <row r="48">
          <cell r="A48">
            <v>510</v>
          </cell>
          <cell r="B48">
            <v>48470.920000000006</v>
          </cell>
        </row>
        <row r="49">
          <cell r="A49">
            <v>520</v>
          </cell>
          <cell r="B49">
            <v>25306.200000000004</v>
          </cell>
        </row>
        <row r="50">
          <cell r="A50">
            <v>526</v>
          </cell>
          <cell r="B50">
            <v>49073.8</v>
          </cell>
        </row>
        <row r="51">
          <cell r="A51">
            <v>528</v>
          </cell>
          <cell r="B51">
            <v>81597.499999999971</v>
          </cell>
        </row>
        <row r="52">
          <cell r="A52">
            <v>533</v>
          </cell>
          <cell r="B52">
            <v>55659.360000000044</v>
          </cell>
        </row>
        <row r="53">
          <cell r="A53">
            <v>539</v>
          </cell>
          <cell r="B53">
            <v>41057.82</v>
          </cell>
        </row>
        <row r="54">
          <cell r="A54">
            <v>544</v>
          </cell>
          <cell r="B54">
            <v>30128.040000000005</v>
          </cell>
        </row>
        <row r="55">
          <cell r="A55">
            <v>546</v>
          </cell>
          <cell r="B55">
            <v>77570.799999999988</v>
          </cell>
        </row>
        <row r="56">
          <cell r="A56">
            <v>548</v>
          </cell>
          <cell r="B56">
            <v>23394.039999999997</v>
          </cell>
        </row>
        <row r="57">
          <cell r="A57">
            <v>554</v>
          </cell>
          <cell r="B57">
            <v>78400.340000000026</v>
          </cell>
        </row>
        <row r="58">
          <cell r="A58">
            <v>566</v>
          </cell>
          <cell r="B58">
            <v>110742</v>
          </cell>
        </row>
        <row r="59">
          <cell r="A59">
            <v>567</v>
          </cell>
          <cell r="B59">
            <v>20866.280000000006</v>
          </cell>
        </row>
        <row r="60">
          <cell r="A60">
            <v>571</v>
          </cell>
          <cell r="B60">
            <v>15850.200000000004</v>
          </cell>
        </row>
        <row r="61">
          <cell r="A61">
            <v>709</v>
          </cell>
          <cell r="B61">
            <v>143871.4</v>
          </cell>
        </row>
        <row r="62">
          <cell r="A62">
            <v>758</v>
          </cell>
          <cell r="B62">
            <v>61708.2</v>
          </cell>
        </row>
        <row r="63">
          <cell r="A63">
            <v>759</v>
          </cell>
          <cell r="B63">
            <v>61182.19999999999</v>
          </cell>
        </row>
        <row r="64">
          <cell r="A64">
            <v>768</v>
          </cell>
          <cell r="B64">
            <v>67042.540000000008</v>
          </cell>
        </row>
        <row r="65">
          <cell r="A65">
            <v>777</v>
          </cell>
          <cell r="B65">
            <v>68815.399999999994</v>
          </cell>
        </row>
        <row r="66">
          <cell r="A66">
            <v>812</v>
          </cell>
          <cell r="B66">
            <v>50132.92000000002</v>
          </cell>
        </row>
        <row r="67">
          <cell r="A67">
            <v>933</v>
          </cell>
          <cell r="B67">
            <v>35132.92</v>
          </cell>
        </row>
        <row r="68">
          <cell r="A68">
            <v>1025</v>
          </cell>
          <cell r="B68">
            <v>8513.7199999999993</v>
          </cell>
        </row>
        <row r="69">
          <cell r="A69">
            <v>1060</v>
          </cell>
          <cell r="B69">
            <v>56470.440000000024</v>
          </cell>
        </row>
        <row r="70">
          <cell r="A70">
            <v>1062</v>
          </cell>
          <cell r="B70">
            <v>45002.939999999995</v>
          </cell>
        </row>
        <row r="71">
          <cell r="A71">
            <v>1092</v>
          </cell>
          <cell r="B71">
            <v>60483.399999999994</v>
          </cell>
        </row>
        <row r="72">
          <cell r="A72">
            <v>1103</v>
          </cell>
          <cell r="B72">
            <v>116696.4</v>
          </cell>
        </row>
        <row r="73">
          <cell r="A73">
            <v>1117</v>
          </cell>
          <cell r="B73">
            <v>91540.489999999991</v>
          </cell>
        </row>
        <row r="74">
          <cell r="A74">
            <v>1119</v>
          </cell>
          <cell r="B74">
            <v>34194.6</v>
          </cell>
        </row>
        <row r="75">
          <cell r="A75">
            <v>1160</v>
          </cell>
          <cell r="B75">
            <v>31753.56</v>
          </cell>
        </row>
        <row r="76">
          <cell r="A76">
            <v>1183</v>
          </cell>
          <cell r="B76">
            <v>0</v>
          </cell>
        </row>
        <row r="77">
          <cell r="A77">
            <v>1200</v>
          </cell>
          <cell r="B77">
            <v>5607.28</v>
          </cell>
        </row>
        <row r="78">
          <cell r="A78">
            <v>1205</v>
          </cell>
          <cell r="B78">
            <v>42262.399999999994</v>
          </cell>
        </row>
        <row r="79">
          <cell r="A79">
            <v>1218</v>
          </cell>
          <cell r="B79">
            <v>63828.68</v>
          </cell>
        </row>
        <row r="80">
          <cell r="A80">
            <v>1256</v>
          </cell>
          <cell r="B80">
            <v>24754.340000000004</v>
          </cell>
        </row>
        <row r="81">
          <cell r="A81">
            <v>1267</v>
          </cell>
          <cell r="B81">
            <v>44655.240000000005</v>
          </cell>
        </row>
        <row r="82">
          <cell r="A82">
            <v>1291</v>
          </cell>
          <cell r="B82">
            <v>132381</v>
          </cell>
        </row>
        <row r="83">
          <cell r="A83">
            <v>1295</v>
          </cell>
          <cell r="B83">
            <v>50692.710000000014</v>
          </cell>
        </row>
        <row r="84">
          <cell r="A84">
            <v>1384</v>
          </cell>
          <cell r="B84">
            <v>59443.040000000015</v>
          </cell>
        </row>
        <row r="85">
          <cell r="A85">
            <v>1410</v>
          </cell>
          <cell r="B85">
            <v>29115.4</v>
          </cell>
        </row>
        <row r="86">
          <cell r="A86">
            <v>1412</v>
          </cell>
          <cell r="B86">
            <v>125990.10000000003</v>
          </cell>
        </row>
        <row r="87">
          <cell r="A87">
            <v>1416</v>
          </cell>
          <cell r="B87">
            <v>22952.38</v>
          </cell>
        </row>
        <row r="88">
          <cell r="A88">
            <v>1427</v>
          </cell>
          <cell r="B88">
            <v>26070.999999999996</v>
          </cell>
        </row>
        <row r="89">
          <cell r="A89">
            <v>1428</v>
          </cell>
          <cell r="B89">
            <v>51900.480000000003</v>
          </cell>
        </row>
        <row r="90">
          <cell r="A90">
            <v>1431</v>
          </cell>
          <cell r="B90">
            <v>20198.159999999996</v>
          </cell>
        </row>
        <row r="91">
          <cell r="A91">
            <v>1433</v>
          </cell>
          <cell r="B91">
            <v>17328.560000000009</v>
          </cell>
        </row>
        <row r="92">
          <cell r="A92">
            <v>1436</v>
          </cell>
          <cell r="B92">
            <v>34555.839999999997</v>
          </cell>
        </row>
        <row r="93">
          <cell r="A93">
            <v>1438</v>
          </cell>
          <cell r="B93">
            <v>124285.56</v>
          </cell>
        </row>
        <row r="94">
          <cell r="A94">
            <v>1488</v>
          </cell>
          <cell r="B94">
            <v>21066.18</v>
          </cell>
        </row>
        <row r="95">
          <cell r="A95">
            <v>1531</v>
          </cell>
          <cell r="B95">
            <v>46197.8</v>
          </cell>
        </row>
        <row r="96">
          <cell r="A96">
            <v>1537</v>
          </cell>
          <cell r="B96">
            <v>22661.220000000008</v>
          </cell>
        </row>
        <row r="97">
          <cell r="A97">
            <v>1539</v>
          </cell>
          <cell r="B97">
            <v>18546.260000000002</v>
          </cell>
        </row>
        <row r="98">
          <cell r="A98">
            <v>1541</v>
          </cell>
          <cell r="B98">
            <v>25893.679999999989</v>
          </cell>
        </row>
        <row r="99">
          <cell r="A99">
            <v>1543</v>
          </cell>
          <cell r="B99">
            <v>35945.460000000006</v>
          </cell>
        </row>
        <row r="100">
          <cell r="A100">
            <v>1549</v>
          </cell>
          <cell r="B100">
            <v>11476.000000000002</v>
          </cell>
        </row>
        <row r="101">
          <cell r="A101">
            <v>1550</v>
          </cell>
          <cell r="B101">
            <v>33163.119999999995</v>
          </cell>
        </row>
        <row r="102">
          <cell r="A102">
            <v>1571</v>
          </cell>
          <cell r="B102">
            <v>53516.119999999995</v>
          </cell>
        </row>
        <row r="103">
          <cell r="A103">
            <v>1587</v>
          </cell>
          <cell r="B103">
            <v>28923.959999999995</v>
          </cell>
        </row>
        <row r="104">
          <cell r="A104">
            <v>1595</v>
          </cell>
          <cell r="B104">
            <v>24433.040000000001</v>
          </cell>
        </row>
        <row r="105">
          <cell r="A105">
            <v>1599</v>
          </cell>
          <cell r="B105">
            <v>0</v>
          </cell>
        </row>
        <row r="106">
          <cell r="A106">
            <v>1635</v>
          </cell>
          <cell r="B106">
            <v>10117.64</v>
          </cell>
        </row>
        <row r="107">
          <cell r="A107">
            <v>1646</v>
          </cell>
          <cell r="B107">
            <v>56110.92000000002</v>
          </cell>
        </row>
        <row r="108">
          <cell r="A108">
            <v>1657</v>
          </cell>
          <cell r="B108">
            <v>18725.599999999999</v>
          </cell>
        </row>
        <row r="109">
          <cell r="A109">
            <v>1680</v>
          </cell>
          <cell r="B109">
            <v>0</v>
          </cell>
        </row>
        <row r="110">
          <cell r="A110">
            <v>1688</v>
          </cell>
          <cell r="B110">
            <v>20790.319999999996</v>
          </cell>
        </row>
        <row r="111">
          <cell r="A111">
            <v>1696</v>
          </cell>
          <cell r="B111">
            <v>0</v>
          </cell>
        </row>
        <row r="112">
          <cell r="A112">
            <v>1702</v>
          </cell>
          <cell r="B112">
            <v>0</v>
          </cell>
        </row>
        <row r="113">
          <cell r="A113">
            <v>1719</v>
          </cell>
          <cell r="B113">
            <v>83413.329999999987</v>
          </cell>
        </row>
        <row r="114">
          <cell r="A114">
            <v>1723</v>
          </cell>
          <cell r="B114">
            <v>43292.24</v>
          </cell>
        </row>
        <row r="115">
          <cell r="A115">
            <v>1729</v>
          </cell>
          <cell r="B115">
            <v>34670.600000000006</v>
          </cell>
        </row>
        <row r="116">
          <cell r="A116">
            <v>1735</v>
          </cell>
          <cell r="B116">
            <v>13266.16</v>
          </cell>
        </row>
        <row r="117">
          <cell r="A117">
            <v>1742</v>
          </cell>
          <cell r="B117">
            <v>74418.080000000016</v>
          </cell>
        </row>
        <row r="118">
          <cell r="A118">
            <v>1750</v>
          </cell>
          <cell r="B118">
            <v>4437.5</v>
          </cell>
        </row>
        <row r="119">
          <cell r="A119">
            <v>1754</v>
          </cell>
          <cell r="B119">
            <v>39543.599999999991</v>
          </cell>
        </row>
        <row r="120">
          <cell r="A120">
            <v>1772</v>
          </cell>
          <cell r="B120">
            <v>37622.599999999991</v>
          </cell>
        </row>
        <row r="121">
          <cell r="A121">
            <v>1775</v>
          </cell>
          <cell r="B121">
            <v>30683.720000000023</v>
          </cell>
        </row>
        <row r="122">
          <cell r="A122">
            <v>1780</v>
          </cell>
          <cell r="B122">
            <v>80880.62</v>
          </cell>
        </row>
        <row r="123">
          <cell r="A123">
            <v>1790</v>
          </cell>
          <cell r="B123">
            <v>9090.119999999999</v>
          </cell>
        </row>
        <row r="124">
          <cell r="A124">
            <v>1812</v>
          </cell>
          <cell r="B124">
            <v>28280.84</v>
          </cell>
        </row>
        <row r="125">
          <cell r="A125">
            <v>1832</v>
          </cell>
          <cell r="B125">
            <v>54775.720000000016</v>
          </cell>
        </row>
        <row r="126">
          <cell r="A126">
            <v>1837</v>
          </cell>
          <cell r="B126">
            <v>22872.760000000006</v>
          </cell>
        </row>
        <row r="127">
          <cell r="A127">
            <v>1841</v>
          </cell>
          <cell r="B127">
            <v>7368.5800000000027</v>
          </cell>
        </row>
        <row r="128">
          <cell r="A128">
            <v>1842</v>
          </cell>
          <cell r="B128">
            <v>50273.580000000009</v>
          </cell>
        </row>
        <row r="129">
          <cell r="A129">
            <v>1853</v>
          </cell>
          <cell r="B129">
            <v>49401.040000000023</v>
          </cell>
        </row>
        <row r="130">
          <cell r="A130">
            <v>1860</v>
          </cell>
          <cell r="B130">
            <v>19084.120000000003</v>
          </cell>
        </row>
        <row r="131">
          <cell r="A131">
            <v>1868</v>
          </cell>
          <cell r="B131">
            <v>18872.16</v>
          </cell>
        </row>
        <row r="132">
          <cell r="A132">
            <v>1874</v>
          </cell>
          <cell r="B132">
            <v>47353.2</v>
          </cell>
        </row>
        <row r="133">
          <cell r="A133">
            <v>1875</v>
          </cell>
          <cell r="B133">
            <v>120280.2</v>
          </cell>
        </row>
        <row r="134">
          <cell r="A134">
            <v>1878</v>
          </cell>
          <cell r="B134">
            <v>23019.600000000002</v>
          </cell>
        </row>
        <row r="135">
          <cell r="A135">
            <v>1879</v>
          </cell>
          <cell r="B135">
            <v>13841.400000000003</v>
          </cell>
        </row>
        <row r="136">
          <cell r="A136">
            <v>1882</v>
          </cell>
          <cell r="B136">
            <v>21685.440000000002</v>
          </cell>
        </row>
        <row r="137">
          <cell r="A137">
            <v>1900</v>
          </cell>
          <cell r="B137">
            <v>31960.839999999989</v>
          </cell>
        </row>
        <row r="138">
          <cell r="A138">
            <v>1901</v>
          </cell>
          <cell r="B138">
            <v>20298.36</v>
          </cell>
        </row>
        <row r="139">
          <cell r="A139">
            <v>1910</v>
          </cell>
          <cell r="B139">
            <v>243029.2</v>
          </cell>
        </row>
        <row r="140">
          <cell r="A140">
            <v>1929</v>
          </cell>
          <cell r="B140">
            <v>48108</v>
          </cell>
        </row>
        <row r="141">
          <cell r="A141">
            <v>1930</v>
          </cell>
          <cell r="B141">
            <v>144028</v>
          </cell>
        </row>
        <row r="142">
          <cell r="A142">
            <v>1934</v>
          </cell>
          <cell r="B142">
            <v>69097.440000000031</v>
          </cell>
        </row>
        <row r="143">
          <cell r="A143">
            <v>1938</v>
          </cell>
          <cell r="B143">
            <v>22577.72</v>
          </cell>
        </row>
        <row r="144">
          <cell r="A144">
            <v>1943</v>
          </cell>
          <cell r="B144">
            <v>26290.119999999992</v>
          </cell>
        </row>
        <row r="145">
          <cell r="A145">
            <v>1949</v>
          </cell>
          <cell r="B145">
            <v>14422.119999999999</v>
          </cell>
        </row>
        <row r="146">
          <cell r="A146">
            <v>1950</v>
          </cell>
          <cell r="B146">
            <v>26602.240000000002</v>
          </cell>
        </row>
        <row r="147">
          <cell r="A147">
            <v>1971</v>
          </cell>
          <cell r="B147">
            <v>10544.32</v>
          </cell>
        </row>
        <row r="148">
          <cell r="A148">
            <v>1979</v>
          </cell>
          <cell r="B148">
            <v>46102</v>
          </cell>
        </row>
        <row r="149">
          <cell r="A149">
            <v>1983</v>
          </cell>
          <cell r="B149">
            <v>9781.8000000000029</v>
          </cell>
        </row>
        <row r="150">
          <cell r="A150">
            <v>1992</v>
          </cell>
          <cell r="B150">
            <v>58935.139999999985</v>
          </cell>
        </row>
        <row r="151">
          <cell r="A151">
            <v>1996</v>
          </cell>
          <cell r="B151">
            <v>57834.040000000052</v>
          </cell>
        </row>
        <row r="152">
          <cell r="A152">
            <v>1998</v>
          </cell>
          <cell r="B152">
            <v>26699.019999999993</v>
          </cell>
        </row>
        <row r="153">
          <cell r="A153">
            <v>2000</v>
          </cell>
          <cell r="B153">
            <v>29480.639999999999</v>
          </cell>
        </row>
        <row r="154">
          <cell r="A154">
            <v>2001</v>
          </cell>
          <cell r="B154">
            <v>41405.400000000016</v>
          </cell>
        </row>
        <row r="155">
          <cell r="A155">
            <v>2002</v>
          </cell>
          <cell r="B155">
            <v>26375.68</v>
          </cell>
        </row>
        <row r="156">
          <cell r="A156">
            <v>2003</v>
          </cell>
          <cell r="B156">
            <v>22598.319999999996</v>
          </cell>
        </row>
        <row r="157">
          <cell r="A157">
            <v>2004</v>
          </cell>
          <cell r="B157">
            <v>19369.480000000003</v>
          </cell>
        </row>
        <row r="158">
          <cell r="A158">
            <v>2005</v>
          </cell>
          <cell r="B158">
            <v>31631.839999999993</v>
          </cell>
        </row>
        <row r="159">
          <cell r="A159">
            <v>2007</v>
          </cell>
          <cell r="B159">
            <v>35065.919999999998</v>
          </cell>
        </row>
        <row r="160">
          <cell r="A160">
            <v>2008</v>
          </cell>
          <cell r="B160">
            <v>15714.360000000008</v>
          </cell>
        </row>
        <row r="161">
          <cell r="A161">
            <v>2072</v>
          </cell>
          <cell r="B161">
            <v>27329.8</v>
          </cell>
        </row>
        <row r="162">
          <cell r="A162">
            <v>2082</v>
          </cell>
          <cell r="B162">
            <v>63590.010000000024</v>
          </cell>
        </row>
        <row r="163">
          <cell r="A163">
            <v>2083</v>
          </cell>
          <cell r="B163">
            <v>25794.379999999994</v>
          </cell>
        </row>
        <row r="164">
          <cell r="A164">
            <v>2085</v>
          </cell>
          <cell r="B164">
            <v>44146.400000000001</v>
          </cell>
        </row>
        <row r="165">
          <cell r="A165">
            <v>2091</v>
          </cell>
          <cell r="B165">
            <v>15510.759999999997</v>
          </cell>
        </row>
        <row r="166">
          <cell r="A166">
            <v>2092</v>
          </cell>
          <cell r="B166">
            <v>20054.240000000002</v>
          </cell>
        </row>
        <row r="167">
          <cell r="A167">
            <v>2094</v>
          </cell>
          <cell r="B167">
            <v>37767.880000000005</v>
          </cell>
        </row>
        <row r="168">
          <cell r="A168">
            <v>2098</v>
          </cell>
          <cell r="B168">
            <v>37934.68</v>
          </cell>
        </row>
        <row r="169">
          <cell r="A169">
            <v>2100</v>
          </cell>
          <cell r="B169">
            <v>6301.6</v>
          </cell>
        </row>
        <row r="170">
          <cell r="A170">
            <v>2116</v>
          </cell>
          <cell r="B170">
            <v>36852.199999999997</v>
          </cell>
        </row>
        <row r="171">
          <cell r="A171">
            <v>2140</v>
          </cell>
          <cell r="B171">
            <v>183650.80000000002</v>
          </cell>
        </row>
        <row r="172">
          <cell r="A172">
            <v>2141</v>
          </cell>
          <cell r="B172">
            <v>13326.560000000007</v>
          </cell>
        </row>
        <row r="173">
          <cell r="A173">
            <v>2146</v>
          </cell>
          <cell r="B173">
            <v>17236.2</v>
          </cell>
        </row>
        <row r="174">
          <cell r="A174">
            <v>2165</v>
          </cell>
          <cell r="B174">
            <v>0</v>
          </cell>
        </row>
        <row r="175">
          <cell r="A175">
            <v>2171</v>
          </cell>
          <cell r="B175">
            <v>97864.8</v>
          </cell>
        </row>
        <row r="176">
          <cell r="A176">
            <v>2183</v>
          </cell>
          <cell r="B176">
            <v>6826.32</v>
          </cell>
        </row>
        <row r="177">
          <cell r="A177">
            <v>2187</v>
          </cell>
          <cell r="B177">
            <v>34934.920000000006</v>
          </cell>
        </row>
        <row r="178">
          <cell r="A178">
            <v>2192</v>
          </cell>
          <cell r="B178">
            <v>15008.400000000011</v>
          </cell>
        </row>
        <row r="179">
          <cell r="A179">
            <v>2193</v>
          </cell>
          <cell r="B179">
            <v>23817.280000000002</v>
          </cell>
        </row>
        <row r="180">
          <cell r="A180">
            <v>2194</v>
          </cell>
          <cell r="B180">
            <v>19642.140000000003</v>
          </cell>
        </row>
        <row r="181">
          <cell r="A181">
            <v>2200</v>
          </cell>
          <cell r="B181">
            <v>13428.240000000002</v>
          </cell>
        </row>
        <row r="182">
          <cell r="A182">
            <v>2206</v>
          </cell>
          <cell r="B182">
            <v>20676</v>
          </cell>
        </row>
        <row r="183">
          <cell r="A183">
            <v>2210</v>
          </cell>
          <cell r="B183">
            <v>0</v>
          </cell>
        </row>
        <row r="184">
          <cell r="A184">
            <v>2211</v>
          </cell>
          <cell r="B184">
            <v>10113.599999999999</v>
          </cell>
        </row>
        <row r="185">
          <cell r="A185">
            <v>2213</v>
          </cell>
          <cell r="B185">
            <v>9289.68</v>
          </cell>
        </row>
        <row r="186">
          <cell r="A186">
            <v>2214</v>
          </cell>
          <cell r="B186">
            <v>14152.460000000001</v>
          </cell>
        </row>
        <row r="187">
          <cell r="A187">
            <v>2216</v>
          </cell>
          <cell r="B187">
            <v>34261.800000000003</v>
          </cell>
        </row>
        <row r="188">
          <cell r="A188">
            <v>2221</v>
          </cell>
          <cell r="B188">
            <v>9029.0400000000009</v>
          </cell>
        </row>
        <row r="189">
          <cell r="A189">
            <v>2224</v>
          </cell>
          <cell r="B189">
            <v>10443</v>
          </cell>
        </row>
        <row r="190">
          <cell r="A190">
            <v>2235</v>
          </cell>
          <cell r="B190">
            <v>16320.6</v>
          </cell>
        </row>
        <row r="191">
          <cell r="A191" t="str">
            <v>Grand Total</v>
          </cell>
          <cell r="B191">
            <v>9362570.6492000017</v>
          </cell>
        </row>
      </sheetData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9B168-88DD-46F2-802B-AA33604D4786}">
  <sheetPr>
    <tabColor rgb="FF7030A0"/>
  </sheetPr>
  <dimension ref="A1:V188"/>
  <sheetViews>
    <sheetView tabSelected="1" workbookViewId="0">
      <selection activeCell="J23" sqref="J23"/>
    </sheetView>
  </sheetViews>
  <sheetFormatPr defaultRowHeight="14.25"/>
  <cols>
    <col min="8" max="8" width="10.75" bestFit="1" customWidth="1"/>
    <col min="9" max="9" width="8.75" style="1"/>
    <col min="10" max="10" width="35" bestFit="1" customWidth="1"/>
    <col min="11" max="11" width="12.625" bestFit="1" customWidth="1"/>
    <col min="12" max="12" width="35" bestFit="1" customWidth="1"/>
  </cols>
  <sheetData>
    <row r="1" spans="1:12" ht="15">
      <c r="A1" s="4" t="s">
        <v>295</v>
      </c>
      <c r="B1" s="5" t="s">
        <v>296</v>
      </c>
      <c r="H1" t="s">
        <v>0</v>
      </c>
      <c r="I1" s="1" t="s">
        <v>1</v>
      </c>
      <c r="J1" t="s">
        <v>2</v>
      </c>
      <c r="K1" t="s">
        <v>3</v>
      </c>
      <c r="L1" t="s">
        <v>4</v>
      </c>
    </row>
    <row r="2" spans="1:12">
      <c r="A2">
        <v>1</v>
      </c>
      <c r="B2" t="s">
        <v>297</v>
      </c>
      <c r="H2">
        <v>2092</v>
      </c>
      <c r="I2" s="1">
        <f>VLOOKUP(H2,[1]Sheet1!$A$4:$B$191,2,0)</f>
        <v>20054.240000000002</v>
      </c>
      <c r="J2" t="str">
        <f>VLOOKUP(H2,Dataset!A1:D188,2,FALSE)</f>
        <v>Md Sagor Mia</v>
      </c>
      <c r="K2" t="str">
        <f>VLOOKUP(H2,Dataset!A1:D188,3,FALSE)</f>
        <v>Bahaddarhat</v>
      </c>
      <c r="L2" t="str">
        <f>VLOOKUP(H2,Dataset!A1:D188,4,FALSE)</f>
        <v xml:space="preserve">Bhai Bhai Enterprise-Baizid Bostami              </v>
      </c>
    </row>
    <row r="3" spans="1:12">
      <c r="A3">
        <v>2</v>
      </c>
      <c r="B3" t="s">
        <v>298</v>
      </c>
      <c r="H3">
        <v>1060</v>
      </c>
      <c r="I3" s="1">
        <f>VLOOKUP(H3,[1]Sheet1!$A$4:$B$191,2,0)</f>
        <v>56470.440000000024</v>
      </c>
      <c r="J3" t="str">
        <f>VLOOKUP(H3,Dataset!A2:D189,2,FALSE)</f>
        <v>Md. Ibrahim Khalil</v>
      </c>
      <c r="K3" t="str">
        <f>VLOOKUP(H3,Dataset!A2:D189,3,FALSE)</f>
        <v>Bahaddarhat</v>
      </c>
      <c r="L3" t="str">
        <f>VLOOKUP(H3,Dataset!A2:D189,4,FALSE)</f>
        <v xml:space="preserve">Bhai Bhai Enterprise-Baizid Bostami              </v>
      </c>
    </row>
    <row r="4" spans="1:12">
      <c r="A4">
        <v>3</v>
      </c>
      <c r="B4" t="s">
        <v>299</v>
      </c>
      <c r="H4">
        <v>1218</v>
      </c>
      <c r="I4" s="1">
        <f>VLOOKUP(H4,[1]Sheet1!$A$4:$B$191,2,0)</f>
        <v>63828.68</v>
      </c>
      <c r="J4" t="str">
        <f>VLOOKUP(H4,Dataset!A3:D190,2,FALSE)</f>
        <v>Thangem Uddin</v>
      </c>
      <c r="K4" t="str">
        <f>VLOOKUP(H4,Dataset!A3:D190,3,FALSE)</f>
        <v>Bahaddarhat</v>
      </c>
      <c r="L4" t="str">
        <f>VLOOKUP(H4,Dataset!A3:D190,4,FALSE)</f>
        <v xml:space="preserve">Bhai Bhai Enterprise-Baizid Bostami              </v>
      </c>
    </row>
    <row r="5" spans="1:12">
      <c r="H5">
        <v>298</v>
      </c>
      <c r="I5" s="1">
        <f>VLOOKUP(H5,[1]Sheet1!$A$4:$B$191,2,0)</f>
        <v>129473.52</v>
      </c>
      <c r="J5" t="str">
        <f>VLOOKUP(H5,Dataset!A4:D191,2,FALSE)</f>
        <v>Md Anowar Hossain</v>
      </c>
      <c r="K5" t="str">
        <f>VLOOKUP(H5,Dataset!A4:D191,3,FALSE)</f>
        <v>Bahaddarhat</v>
      </c>
      <c r="L5" t="str">
        <f>VLOOKUP(H5,Dataset!A4:D191,4,FALSE)</f>
        <v>Kamal Store</v>
      </c>
    </row>
    <row r="6" spans="1:12">
      <c r="H6">
        <v>292</v>
      </c>
      <c r="I6" s="1">
        <f>VLOOKUP(H6,[1]Sheet1!$A$4:$B$191,2,0)</f>
        <v>112556.51999999996</v>
      </c>
      <c r="J6" t="str">
        <f>VLOOKUP(H6,Dataset!A5:D192,2,FALSE)</f>
        <v>Md Jafor Ahammed</v>
      </c>
      <c r="K6" t="str">
        <f>VLOOKUP(H6,Dataset!A5:D192,3,FALSE)</f>
        <v>Bahaddarhat</v>
      </c>
      <c r="L6" t="str">
        <f>VLOOKUP(H6,Dataset!A5:D192,4,FALSE)</f>
        <v>Kamal Store</v>
      </c>
    </row>
    <row r="7" spans="1:12">
      <c r="H7">
        <v>1842</v>
      </c>
      <c r="I7" s="1">
        <f>VLOOKUP(H7,[1]Sheet1!$A$4:$B$191,2,0)</f>
        <v>50273.580000000009</v>
      </c>
      <c r="J7" t="str">
        <f>VLOOKUP(H7,Dataset!A6:D193,2,FALSE)</f>
        <v>Md. Tanjim Hossain</v>
      </c>
      <c r="K7" t="str">
        <f>VLOOKUP(H7,Dataset!A6:D193,3,FALSE)</f>
        <v>Bahaddarhat</v>
      </c>
      <c r="L7" t="str">
        <f>VLOOKUP(H7,Dataset!A6:D193,4,FALSE)</f>
        <v>Kamal Store</v>
      </c>
    </row>
    <row r="8" spans="1:12">
      <c r="H8">
        <v>12</v>
      </c>
      <c r="I8" s="1">
        <f>VLOOKUP(H8,[1]Sheet1!$A$4:$B$191,2,0)</f>
        <v>69141.319999999992</v>
      </c>
      <c r="J8" t="str">
        <f>VLOOKUP(H8,Dataset!A7:D194,2,FALSE)</f>
        <v>Saddam Hossain</v>
      </c>
      <c r="K8" t="str">
        <f>VLOOKUP(H8,Dataset!A7:D194,3,FALSE)</f>
        <v>Bahaddarhat</v>
      </c>
      <c r="L8" t="str">
        <f>VLOOKUP(H8,Dataset!A7:D194,4,FALSE)</f>
        <v>Kamal Store</v>
      </c>
    </row>
    <row r="9" spans="1:12">
      <c r="H9">
        <v>474</v>
      </c>
      <c r="I9" s="1">
        <f>VLOOKUP(H9,[1]Sheet1!$A$4:$B$191,2,0)</f>
        <v>36626.120000000003</v>
      </c>
      <c r="J9" t="str">
        <f>VLOOKUP(H9,Dataset!A8:D195,2,FALSE)</f>
        <v>Marchel Chakma</v>
      </c>
      <c r="K9" t="str">
        <f>VLOOKUP(H9,Dataset!A8:D195,3,FALSE)</f>
        <v>C&amp;B</v>
      </c>
      <c r="L9" t="str">
        <f>VLOOKUP(H9,Dataset!A8:D195,4,FALSE)</f>
        <v>Nur Ponno Mela- C&amp;B</v>
      </c>
    </row>
    <row r="10" spans="1:12">
      <c r="H10">
        <v>1550</v>
      </c>
      <c r="I10" s="1">
        <f>VLOOKUP(H10,[1]Sheet1!$A$4:$B$191,2,0)</f>
        <v>33163.119999999995</v>
      </c>
      <c r="J10" t="str">
        <f>VLOOKUP(H10,Dataset!A9:D196,2,FALSE)</f>
        <v>Md. Rasel</v>
      </c>
      <c r="K10" t="str">
        <f>VLOOKUP(H10,Dataset!A9:D196,3,FALSE)</f>
        <v>C&amp;B</v>
      </c>
      <c r="L10" t="str">
        <f>VLOOKUP(H10,Dataset!A9:D196,4,FALSE)</f>
        <v>Nur Ponno Mela- C&amp;B</v>
      </c>
    </row>
    <row r="11" spans="1:12">
      <c r="H11">
        <v>1983</v>
      </c>
      <c r="I11" s="1">
        <f>VLOOKUP(H11,[1]Sheet1!$A$4:$B$191,2,0)</f>
        <v>9781.8000000000029</v>
      </c>
      <c r="J11" t="str">
        <f>VLOOKUP(H11,Dataset!A10:D197,2,FALSE)</f>
        <v>Bappy Barua</v>
      </c>
      <c r="K11" t="str">
        <f>VLOOKUP(H11,Dataset!A10:D197,3,FALSE)</f>
        <v>Coxs Bazar</v>
      </c>
      <c r="L11" t="str">
        <f>VLOOKUP(H11,Dataset!A10:D197,4,FALSE)</f>
        <v>Arveen Corporation</v>
      </c>
    </row>
    <row r="12" spans="1:12">
      <c r="H12">
        <v>1657</v>
      </c>
      <c r="I12" s="1">
        <f>VLOOKUP(H12,[1]Sheet1!$A$4:$B$191,2,0)</f>
        <v>18725.599999999999</v>
      </c>
      <c r="J12" t="str">
        <f>VLOOKUP(H12,Dataset!A11:D198,2,FALSE)</f>
        <v>Sohel Ahmad</v>
      </c>
      <c r="K12" t="str">
        <f>VLOOKUP(H12,Dataset!A11:D198,3,FALSE)</f>
        <v>Coxs Bazar</v>
      </c>
      <c r="L12" t="str">
        <f>VLOOKUP(H12,Dataset!A11:D198,4,FALSE)</f>
        <v>Hazi fazal Karim EnterpriseMoheskhali</v>
      </c>
    </row>
    <row r="13" spans="1:12">
      <c r="H13">
        <v>294</v>
      </c>
      <c r="I13" s="1">
        <f>VLOOKUP(H13,[1]Sheet1!$A$4:$B$191,2,0)</f>
        <v>22579.519999999997</v>
      </c>
      <c r="J13" t="str">
        <f>VLOOKUP(H13,Dataset!A12:D199,2,FALSE)</f>
        <v>Mr.Aprajit Das</v>
      </c>
      <c r="K13" t="str">
        <f>VLOOKUP(H13,Dataset!A12:D199,3,FALSE)</f>
        <v>Dampara</v>
      </c>
      <c r="L13" t="str">
        <f>VLOOKUP(H13,Dataset!A12:D199,4,FALSE)</f>
        <v>Next Associates- Khulshi</v>
      </c>
    </row>
    <row r="14" spans="1:12">
      <c r="H14">
        <v>2098</v>
      </c>
      <c r="I14" s="1">
        <f>VLOOKUP(H14,[1]Sheet1!$A$4:$B$191,2,0)</f>
        <v>37934.68</v>
      </c>
      <c r="J14" t="str">
        <f>VLOOKUP(H14,Dataset!A13:D200,2,FALSE)</f>
        <v>Nazmul Hasan Tusar</v>
      </c>
      <c r="K14" t="str">
        <f>VLOOKUP(H14,Dataset!A13:D200,3,FALSE)</f>
        <v>Dampara</v>
      </c>
      <c r="L14" t="str">
        <f>VLOOKUP(H14,Dataset!A13:D200,4,FALSE)</f>
        <v>Next Associates- Khulshi</v>
      </c>
    </row>
    <row r="15" spans="1:12">
      <c r="H15">
        <v>350</v>
      </c>
      <c r="I15" s="1">
        <f>VLOOKUP(H15,[1]Sheet1!$A$4:$B$191,2,0)</f>
        <v>83676.740000000005</v>
      </c>
      <c r="J15" t="str">
        <f>VLOOKUP(H15,Dataset!A14:D201,2,FALSE)</f>
        <v>Aminul Islam</v>
      </c>
      <c r="K15" t="str">
        <f>VLOOKUP(H15,Dataset!A14:D201,3,FALSE)</f>
        <v>Dewanhat</v>
      </c>
      <c r="L15" t="str">
        <f>VLOOKUP(H15,Dataset!A14:D201,4,FALSE)</f>
        <v xml:space="preserve">Humaira Enterprise- CEPZ </v>
      </c>
    </row>
    <row r="16" spans="1:12">
      <c r="H16">
        <v>1646</v>
      </c>
      <c r="I16" s="1">
        <f>VLOOKUP(H16,[1]Sheet1!$A$4:$B$191,2,0)</f>
        <v>56110.92000000002</v>
      </c>
      <c r="J16" t="str">
        <f>VLOOKUP(H16,Dataset!A15:D202,2,FALSE)</f>
        <v>Md. Abdur Rahim</v>
      </c>
      <c r="K16" t="str">
        <f>VLOOKUP(H16,Dataset!A15:D202,3,FALSE)</f>
        <v xml:space="preserve">Fotikchori </v>
      </c>
      <c r="L16" t="str">
        <f>VLOOKUP(H16,Dataset!A15:D202,4,FALSE)</f>
        <v xml:space="preserve">Shanaz Trading- Hatazari </v>
      </c>
    </row>
    <row r="17" spans="8:12">
      <c r="H17">
        <v>1723</v>
      </c>
      <c r="I17" s="1">
        <f>VLOOKUP(H17,[1]Sheet1!$A$4:$B$191,2,0)</f>
        <v>43292.24</v>
      </c>
      <c r="J17" t="str">
        <f>VLOOKUP(H17,Dataset!A16:D203,2,FALSE)</f>
        <v>Md. Shihab Uddin</v>
      </c>
      <c r="K17" t="str">
        <f>VLOOKUP(H17,Dataset!A16:D203,3,FALSE)</f>
        <v xml:space="preserve">Fotikchori </v>
      </c>
      <c r="L17" t="str">
        <f>VLOOKUP(H17,Dataset!A16:D203,4,FALSE)</f>
        <v xml:space="preserve">Shanaz Trading- Hatazari </v>
      </c>
    </row>
    <row r="18" spans="8:12">
      <c r="H18">
        <v>1735</v>
      </c>
      <c r="I18" s="1">
        <f>VLOOKUP(H18,[1]Sheet1!$A$4:$B$191,2,0)</f>
        <v>13266.16</v>
      </c>
      <c r="J18" t="str">
        <f>VLOOKUP(H18,Dataset!A17:D204,2,FALSE)</f>
        <v>Md. Rejaul Karim-P</v>
      </c>
      <c r="K18" t="str">
        <f>VLOOKUP(H18,Dataset!A17:D204,3,FALSE)</f>
        <v>Keranihat</v>
      </c>
      <c r="L18" t="str">
        <f>VLOOKUP(H18,Dataset!A17:D204,4,FALSE)</f>
        <v>Abdul Momen Enterprise- Keranirhat</v>
      </c>
    </row>
    <row r="19" spans="8:12">
      <c r="H19">
        <v>1431</v>
      </c>
      <c r="I19" s="1">
        <f>VLOOKUP(H19,[1]Sheet1!$A$4:$B$191,2,0)</f>
        <v>20198.159999999996</v>
      </c>
      <c r="J19" t="str">
        <f>VLOOKUP(H19,Dataset!A18:D205,2,FALSE)</f>
        <v>Md.Hafizur Rahman</v>
      </c>
      <c r="K19" t="str">
        <f>VLOOKUP(H19,Dataset!A18:D205,3,FALSE)</f>
        <v>Keranihat</v>
      </c>
      <c r="L19" t="str">
        <f>VLOOKUP(H19,Dataset!A18:D205,4,FALSE)</f>
        <v>J.H. Trading- Patiya</v>
      </c>
    </row>
    <row r="20" spans="8:12">
      <c r="H20" s="2"/>
    </row>
    <row r="21" spans="8:12">
      <c r="H21" s="2"/>
    </row>
    <row r="22" spans="8:12">
      <c r="H22" s="2"/>
    </row>
    <row r="23" spans="8:12">
      <c r="H23" s="2"/>
    </row>
    <row r="24" spans="8:12">
      <c r="H24" s="2"/>
    </row>
    <row r="25" spans="8:12">
      <c r="H25" s="2"/>
    </row>
    <row r="26" spans="8:12">
      <c r="H26" s="2"/>
    </row>
    <row r="27" spans="8:12">
      <c r="H27" s="2"/>
    </row>
    <row r="28" spans="8:12">
      <c r="H28" s="2"/>
    </row>
    <row r="29" spans="8:12">
      <c r="H29" s="2"/>
    </row>
    <row r="30" spans="8:12">
      <c r="H30" s="2"/>
    </row>
    <row r="31" spans="8:12">
      <c r="H31" s="2"/>
    </row>
    <row r="32" spans="8:12">
      <c r="H32" s="2"/>
    </row>
    <row r="33" spans="8:8">
      <c r="H33" s="2"/>
    </row>
    <row r="34" spans="8:8">
      <c r="H34" s="2"/>
    </row>
    <row r="35" spans="8:8">
      <c r="H35" s="2"/>
    </row>
    <row r="36" spans="8:8">
      <c r="H36" s="2"/>
    </row>
    <row r="37" spans="8:8">
      <c r="H37" s="2"/>
    </row>
    <row r="38" spans="8:8">
      <c r="H38" s="2"/>
    </row>
    <row r="39" spans="8:8">
      <c r="H39" s="2"/>
    </row>
    <row r="40" spans="8:8">
      <c r="H40" s="2"/>
    </row>
    <row r="41" spans="8:8">
      <c r="H41" s="2"/>
    </row>
    <row r="42" spans="8:8">
      <c r="H42" s="2"/>
    </row>
    <row r="43" spans="8:8">
      <c r="H43" s="2"/>
    </row>
    <row r="44" spans="8:8">
      <c r="H44" s="2"/>
    </row>
    <row r="45" spans="8:8">
      <c r="H45" s="2"/>
    </row>
    <row r="46" spans="8:8">
      <c r="H46" s="2"/>
    </row>
    <row r="47" spans="8:8">
      <c r="H47" s="2"/>
    </row>
    <row r="48" spans="8:8">
      <c r="H48" s="2"/>
    </row>
    <row r="49" spans="8:8">
      <c r="H49" s="2"/>
    </row>
    <row r="50" spans="8:8">
      <c r="H50" s="2"/>
    </row>
    <row r="51" spans="8:8">
      <c r="H51" s="2"/>
    </row>
    <row r="52" spans="8:8">
      <c r="H52" s="2"/>
    </row>
    <row r="53" spans="8:8">
      <c r="H53" s="2"/>
    </row>
    <row r="54" spans="8:8">
      <c r="H54" s="2"/>
    </row>
    <row r="55" spans="8:8">
      <c r="H55" s="2"/>
    </row>
    <row r="56" spans="8:8">
      <c r="H56" s="2"/>
    </row>
    <row r="57" spans="8:8">
      <c r="H57" s="2"/>
    </row>
    <row r="58" spans="8:8">
      <c r="H58" s="2"/>
    </row>
    <row r="59" spans="8:8">
      <c r="H59" s="2"/>
    </row>
    <row r="60" spans="8:8">
      <c r="H60" s="2"/>
    </row>
    <row r="61" spans="8:8">
      <c r="H61" s="2"/>
    </row>
    <row r="62" spans="8:8">
      <c r="H62" s="2"/>
    </row>
    <row r="63" spans="8:8">
      <c r="H63" s="2"/>
    </row>
    <row r="64" spans="8:8">
      <c r="H64" s="2"/>
    </row>
    <row r="65" spans="8:8">
      <c r="H65" s="2"/>
    </row>
    <row r="66" spans="8:8">
      <c r="H66" s="2"/>
    </row>
    <row r="67" spans="8:8">
      <c r="H67" s="2"/>
    </row>
    <row r="68" spans="8:8">
      <c r="H68" s="2"/>
    </row>
    <row r="69" spans="8:8">
      <c r="H69" s="2"/>
    </row>
    <row r="70" spans="8:8">
      <c r="H70" s="2"/>
    </row>
    <row r="71" spans="8:8">
      <c r="H71" s="2"/>
    </row>
    <row r="72" spans="8:8">
      <c r="H72" s="2"/>
    </row>
    <row r="73" spans="8:8">
      <c r="H73" s="2"/>
    </row>
    <row r="74" spans="8:8">
      <c r="H74" s="2"/>
    </row>
    <row r="75" spans="8:8">
      <c r="H75" s="2"/>
    </row>
    <row r="76" spans="8:8">
      <c r="H76" s="2"/>
    </row>
    <row r="77" spans="8:8">
      <c r="H77" s="2"/>
    </row>
    <row r="78" spans="8:8">
      <c r="H78" s="2"/>
    </row>
    <row r="79" spans="8:8">
      <c r="H79" s="2"/>
    </row>
    <row r="80" spans="8:8">
      <c r="H80" s="2"/>
    </row>
    <row r="81" spans="8:8">
      <c r="H81" s="2"/>
    </row>
    <row r="82" spans="8:8">
      <c r="H82" s="2"/>
    </row>
    <row r="83" spans="8:8">
      <c r="H83" s="2"/>
    </row>
    <row r="84" spans="8:8">
      <c r="H84" s="2"/>
    </row>
    <row r="85" spans="8:8">
      <c r="H85" s="2"/>
    </row>
    <row r="86" spans="8:8">
      <c r="H86" s="2"/>
    </row>
    <row r="87" spans="8:8">
      <c r="H87" s="2"/>
    </row>
    <row r="88" spans="8:8">
      <c r="H88" s="2"/>
    </row>
    <row r="89" spans="8:8">
      <c r="H89" s="2"/>
    </row>
    <row r="90" spans="8:8">
      <c r="H90" s="2"/>
    </row>
    <row r="91" spans="8:8">
      <c r="H91" s="2"/>
    </row>
    <row r="92" spans="8:8">
      <c r="H92" s="2"/>
    </row>
    <row r="93" spans="8:8">
      <c r="H93" s="2"/>
    </row>
    <row r="94" spans="8:8">
      <c r="H94" s="2"/>
    </row>
    <row r="95" spans="8:8">
      <c r="H95" s="2"/>
    </row>
    <row r="96" spans="8:8">
      <c r="H96" s="2"/>
    </row>
    <row r="97" spans="8:8">
      <c r="H97" s="2"/>
    </row>
    <row r="98" spans="8:8">
      <c r="H98" s="2"/>
    </row>
    <row r="99" spans="8:8">
      <c r="H99" s="2"/>
    </row>
    <row r="100" spans="8:8">
      <c r="H100" s="2"/>
    </row>
    <row r="101" spans="8:8">
      <c r="H101" s="2"/>
    </row>
    <row r="102" spans="8:8">
      <c r="H102" s="2"/>
    </row>
    <row r="103" spans="8:8">
      <c r="H103" s="2"/>
    </row>
    <row r="104" spans="8:8">
      <c r="H104" s="2"/>
    </row>
    <row r="105" spans="8:8">
      <c r="H105" s="2"/>
    </row>
    <row r="106" spans="8:8">
      <c r="H106" s="2"/>
    </row>
    <row r="107" spans="8:8">
      <c r="H107" s="2"/>
    </row>
    <row r="108" spans="8:8">
      <c r="H108" s="2"/>
    </row>
    <row r="109" spans="8:8">
      <c r="H109" s="2"/>
    </row>
    <row r="110" spans="8:8">
      <c r="H110" s="2"/>
    </row>
    <row r="111" spans="8:8">
      <c r="H111" s="2"/>
    </row>
    <row r="112" spans="8:8">
      <c r="H112" s="2"/>
    </row>
    <row r="113" spans="8:8">
      <c r="H113" s="2"/>
    </row>
    <row r="114" spans="8:8">
      <c r="H114" s="2"/>
    </row>
    <row r="115" spans="8:8">
      <c r="H115" s="2"/>
    </row>
    <row r="116" spans="8:8">
      <c r="H116" s="2"/>
    </row>
    <row r="117" spans="8:8">
      <c r="H117" s="2"/>
    </row>
    <row r="118" spans="8:8">
      <c r="H118" s="2"/>
    </row>
    <row r="119" spans="8:8">
      <c r="H119" s="2"/>
    </row>
    <row r="120" spans="8:8">
      <c r="H120" s="2"/>
    </row>
    <row r="121" spans="8:8">
      <c r="H121" s="2"/>
    </row>
    <row r="122" spans="8:8">
      <c r="H122" s="2"/>
    </row>
    <row r="123" spans="8:8">
      <c r="H123" s="2"/>
    </row>
    <row r="124" spans="8:8">
      <c r="H124" s="2"/>
    </row>
    <row r="125" spans="8:8">
      <c r="H125" s="2"/>
    </row>
    <row r="126" spans="8:8">
      <c r="H126" s="2"/>
    </row>
    <row r="127" spans="8:8">
      <c r="H127" s="2"/>
    </row>
    <row r="128" spans="8:8">
      <c r="H128" s="2"/>
    </row>
    <row r="129" spans="8:8">
      <c r="H129" s="2"/>
    </row>
    <row r="130" spans="8:8">
      <c r="H130" s="2"/>
    </row>
    <row r="131" spans="8:8">
      <c r="H131" s="2"/>
    </row>
    <row r="132" spans="8:8">
      <c r="H132" s="2"/>
    </row>
    <row r="133" spans="8:8">
      <c r="H133" s="2"/>
    </row>
    <row r="134" spans="8:8">
      <c r="H134" s="2"/>
    </row>
    <row r="135" spans="8:8">
      <c r="H135" s="2"/>
    </row>
    <row r="136" spans="8:8">
      <c r="H136" s="2"/>
    </row>
    <row r="137" spans="8:8">
      <c r="H137" s="2"/>
    </row>
    <row r="138" spans="8:8">
      <c r="H138" s="2"/>
    </row>
    <row r="139" spans="8:8">
      <c r="H139" s="2"/>
    </row>
    <row r="140" spans="8:8">
      <c r="H140" s="2"/>
    </row>
    <row r="141" spans="8:8">
      <c r="H141" s="2"/>
    </row>
    <row r="142" spans="8:8">
      <c r="H142" s="2"/>
    </row>
    <row r="143" spans="8:8">
      <c r="H143" s="2"/>
    </row>
    <row r="144" spans="8:8">
      <c r="H144" s="2"/>
    </row>
    <row r="145" spans="8:8">
      <c r="H145" s="2"/>
    </row>
    <row r="146" spans="8:8">
      <c r="H146" s="2"/>
    </row>
    <row r="147" spans="8:8">
      <c r="H147" s="2"/>
    </row>
    <row r="148" spans="8:8">
      <c r="H148" s="2"/>
    </row>
    <row r="149" spans="8:8">
      <c r="H149" s="2"/>
    </row>
    <row r="150" spans="8:8">
      <c r="H150" s="2"/>
    </row>
    <row r="151" spans="8:8">
      <c r="H151" s="2"/>
    </row>
    <row r="152" spans="8:8">
      <c r="H152" s="2"/>
    </row>
    <row r="153" spans="8:8">
      <c r="H153" s="2"/>
    </row>
    <row r="154" spans="8:8">
      <c r="H154" s="2"/>
    </row>
    <row r="155" spans="8:8">
      <c r="H155" s="2"/>
    </row>
    <row r="156" spans="8:8">
      <c r="H156" s="2"/>
    </row>
    <row r="157" spans="8:8">
      <c r="H157" s="2"/>
    </row>
    <row r="158" spans="8:8">
      <c r="H158" s="2"/>
    </row>
    <row r="159" spans="8:8">
      <c r="H159" s="2"/>
    </row>
    <row r="160" spans="8:8">
      <c r="H160" s="2"/>
    </row>
    <row r="161" spans="8:8">
      <c r="H161" s="2"/>
    </row>
    <row r="162" spans="8:8">
      <c r="H162" s="2"/>
    </row>
    <row r="163" spans="8:8">
      <c r="H163" s="2"/>
    </row>
    <row r="164" spans="8:8">
      <c r="H164" s="2"/>
    </row>
    <row r="165" spans="8:8">
      <c r="H165" s="2"/>
    </row>
    <row r="166" spans="8:8">
      <c r="H166" s="2"/>
    </row>
    <row r="167" spans="8:8">
      <c r="H167" s="2"/>
    </row>
    <row r="168" spans="8:8">
      <c r="H168" s="2"/>
    </row>
    <row r="169" spans="8:8">
      <c r="H169" s="2"/>
    </row>
    <row r="170" spans="8:8">
      <c r="H170" s="2"/>
    </row>
    <row r="171" spans="8:8">
      <c r="H171" s="2"/>
    </row>
    <row r="172" spans="8:8">
      <c r="H172" s="2"/>
    </row>
    <row r="173" spans="8:8">
      <c r="H173" s="2"/>
    </row>
    <row r="174" spans="8:8">
      <c r="H174" s="2"/>
    </row>
    <row r="175" spans="8:8">
      <c r="H175" s="2"/>
    </row>
    <row r="176" spans="8:8">
      <c r="H176" s="2"/>
    </row>
    <row r="177" spans="8:22">
      <c r="H177" s="2"/>
    </row>
    <row r="178" spans="8:22">
      <c r="H178" s="2"/>
    </row>
    <row r="179" spans="8:22">
      <c r="H179" s="2"/>
    </row>
    <row r="180" spans="8:22">
      <c r="H180" s="2"/>
    </row>
    <row r="181" spans="8:22">
      <c r="H181" s="2"/>
    </row>
    <row r="182" spans="8:22">
      <c r="H182" s="2"/>
    </row>
    <row r="183" spans="8:22">
      <c r="H183" s="2"/>
    </row>
    <row r="184" spans="8:22">
      <c r="H184" s="2"/>
    </row>
    <row r="185" spans="8:22">
      <c r="H185" s="2"/>
    </row>
    <row r="186" spans="8:22">
      <c r="H186" s="2"/>
    </row>
    <row r="187" spans="8:22">
      <c r="H187" s="2"/>
    </row>
    <row r="188" spans="8:22">
      <c r="H188" s="2"/>
      <c r="V188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ED633-4A72-4318-9F44-9A508220836D}">
  <dimension ref="A1:D188"/>
  <sheetViews>
    <sheetView topLeftCell="A186" workbookViewId="0">
      <selection activeCell="A2" sqref="A2"/>
    </sheetView>
  </sheetViews>
  <sheetFormatPr defaultRowHeight="14.25"/>
  <cols>
    <col min="1" max="1" width="10.75" bestFit="1" customWidth="1"/>
    <col min="2" max="2" width="24.625" bestFit="1" customWidth="1"/>
    <col min="3" max="3" width="12.625" bestFit="1" customWidth="1"/>
    <col min="4" max="4" width="35" bestFit="1" customWidth="1"/>
  </cols>
  <sheetData>
    <row r="1" spans="1:4">
      <c r="A1" t="s">
        <v>0</v>
      </c>
      <c r="B1" t="s">
        <v>2</v>
      </c>
      <c r="C1" t="s">
        <v>3</v>
      </c>
      <c r="D1" t="s">
        <v>4</v>
      </c>
    </row>
    <row r="2" spans="1:4">
      <c r="A2">
        <v>2092</v>
      </c>
      <c r="B2" t="s">
        <v>5</v>
      </c>
      <c r="C2" t="s">
        <v>6</v>
      </c>
      <c r="D2" t="s">
        <v>7</v>
      </c>
    </row>
    <row r="3" spans="1:4">
      <c r="A3">
        <v>1060</v>
      </c>
      <c r="B3" t="s">
        <v>8</v>
      </c>
      <c r="C3" t="s">
        <v>6</v>
      </c>
      <c r="D3" t="s">
        <v>7</v>
      </c>
    </row>
    <row r="4" spans="1:4">
      <c r="A4">
        <v>1218</v>
      </c>
      <c r="B4" t="s">
        <v>9</v>
      </c>
      <c r="C4" t="s">
        <v>6</v>
      </c>
      <c r="D4" t="s">
        <v>7</v>
      </c>
    </row>
    <row r="5" spans="1:4">
      <c r="A5">
        <v>298</v>
      </c>
      <c r="B5" t="s">
        <v>10</v>
      </c>
      <c r="C5" t="s">
        <v>6</v>
      </c>
      <c r="D5" t="s">
        <v>11</v>
      </c>
    </row>
    <row r="6" spans="1:4">
      <c r="A6">
        <v>292</v>
      </c>
      <c r="B6" t="s">
        <v>12</v>
      </c>
      <c r="C6" t="s">
        <v>6</v>
      </c>
      <c r="D6" t="s">
        <v>11</v>
      </c>
    </row>
    <row r="7" spans="1:4">
      <c r="A7">
        <v>1842</v>
      </c>
      <c r="B7" t="s">
        <v>13</v>
      </c>
      <c r="C7" t="s">
        <v>6</v>
      </c>
      <c r="D7" t="s">
        <v>11</v>
      </c>
    </row>
    <row r="8" spans="1:4">
      <c r="A8">
        <v>12</v>
      </c>
      <c r="B8" t="s">
        <v>14</v>
      </c>
      <c r="C8" t="s">
        <v>6</v>
      </c>
      <c r="D8" t="s">
        <v>11</v>
      </c>
    </row>
    <row r="9" spans="1:4">
      <c r="A9">
        <v>1599</v>
      </c>
      <c r="B9" t="s">
        <v>15</v>
      </c>
      <c r="C9" t="s">
        <v>6</v>
      </c>
      <c r="D9" t="s">
        <v>16</v>
      </c>
    </row>
    <row r="10" spans="1:4">
      <c r="A10">
        <v>1571</v>
      </c>
      <c r="B10" t="s">
        <v>17</v>
      </c>
      <c r="C10" t="s">
        <v>6</v>
      </c>
      <c r="D10" t="s">
        <v>16</v>
      </c>
    </row>
    <row r="11" spans="1:4">
      <c r="A11">
        <v>1841</v>
      </c>
      <c r="B11" t="s">
        <v>18</v>
      </c>
      <c r="C11" t="s">
        <v>6</v>
      </c>
      <c r="D11" t="s">
        <v>16</v>
      </c>
    </row>
    <row r="12" spans="1:4">
      <c r="A12">
        <v>1772</v>
      </c>
      <c r="B12" t="s">
        <v>19</v>
      </c>
      <c r="C12" t="s">
        <v>6</v>
      </c>
      <c r="D12" t="s">
        <v>16</v>
      </c>
    </row>
    <row r="13" spans="1:4">
      <c r="A13">
        <v>477</v>
      </c>
      <c r="B13" t="s">
        <v>20</v>
      </c>
      <c r="C13" t="s">
        <v>21</v>
      </c>
      <c r="D13" t="s">
        <v>22</v>
      </c>
    </row>
    <row r="14" spans="1:4">
      <c r="A14">
        <v>2210</v>
      </c>
      <c r="B14" t="s">
        <v>23</v>
      </c>
      <c r="C14" t="s">
        <v>21</v>
      </c>
      <c r="D14" t="s">
        <v>24</v>
      </c>
    </row>
    <row r="15" spans="1:4">
      <c r="A15">
        <v>1680</v>
      </c>
      <c r="B15" t="s">
        <v>25</v>
      </c>
      <c r="C15" t="s">
        <v>21</v>
      </c>
      <c r="D15" t="s">
        <v>24</v>
      </c>
    </row>
    <row r="16" spans="1:4">
      <c r="A16">
        <v>2224</v>
      </c>
      <c r="B16" t="s">
        <v>26</v>
      </c>
      <c r="C16" t="s">
        <v>21</v>
      </c>
      <c r="D16" t="s">
        <v>27</v>
      </c>
    </row>
    <row r="17" spans="1:4">
      <c r="A17">
        <v>474</v>
      </c>
      <c r="B17" t="s">
        <v>28</v>
      </c>
      <c r="C17" t="s">
        <v>21</v>
      </c>
      <c r="D17" t="s">
        <v>27</v>
      </c>
    </row>
    <row r="18" spans="1:4">
      <c r="A18">
        <v>1550</v>
      </c>
      <c r="B18" t="s">
        <v>29</v>
      </c>
      <c r="C18" t="s">
        <v>21</v>
      </c>
      <c r="D18" t="s">
        <v>27</v>
      </c>
    </row>
    <row r="19" spans="1:4">
      <c r="A19">
        <v>1983</v>
      </c>
      <c r="B19" t="s">
        <v>30</v>
      </c>
      <c r="C19" t="s">
        <v>31</v>
      </c>
      <c r="D19" t="s">
        <v>32</v>
      </c>
    </row>
    <row r="20" spans="1:4">
      <c r="A20">
        <v>1657</v>
      </c>
      <c r="B20" t="s">
        <v>33</v>
      </c>
      <c r="C20" t="s">
        <v>31</v>
      </c>
      <c r="D20" t="s">
        <v>34</v>
      </c>
    </row>
    <row r="21" spans="1:4">
      <c r="A21">
        <v>1901</v>
      </c>
      <c r="B21" t="s">
        <v>35</v>
      </c>
      <c r="C21" t="s">
        <v>31</v>
      </c>
      <c r="D21" t="s">
        <v>36</v>
      </c>
    </row>
    <row r="22" spans="1:4">
      <c r="A22">
        <v>2091</v>
      </c>
      <c r="B22" t="s">
        <v>37</v>
      </c>
      <c r="C22" t="s">
        <v>31</v>
      </c>
      <c r="D22" t="s">
        <v>36</v>
      </c>
    </row>
    <row r="23" spans="1:4">
      <c r="A23">
        <v>1200</v>
      </c>
      <c r="B23" t="s">
        <v>38</v>
      </c>
      <c r="C23" t="s">
        <v>31</v>
      </c>
      <c r="D23" t="s">
        <v>39</v>
      </c>
    </row>
    <row r="24" spans="1:4">
      <c r="A24">
        <v>2100</v>
      </c>
      <c r="B24" t="s">
        <v>40</v>
      </c>
      <c r="C24" t="s">
        <v>31</v>
      </c>
      <c r="D24" t="s">
        <v>39</v>
      </c>
    </row>
    <row r="25" spans="1:4">
      <c r="A25">
        <v>567</v>
      </c>
      <c r="B25" t="s">
        <v>41</v>
      </c>
      <c r="C25" t="s">
        <v>31</v>
      </c>
      <c r="D25" t="s">
        <v>42</v>
      </c>
    </row>
    <row r="26" spans="1:4">
      <c r="A26">
        <v>566</v>
      </c>
      <c r="B26" t="s">
        <v>43</v>
      </c>
      <c r="C26" t="s">
        <v>31</v>
      </c>
      <c r="D26" t="s">
        <v>42</v>
      </c>
    </row>
    <row r="27" spans="1:4">
      <c r="A27">
        <v>1183</v>
      </c>
      <c r="B27" t="s">
        <v>44</v>
      </c>
      <c r="C27" t="s">
        <v>31</v>
      </c>
      <c r="D27" t="s">
        <v>42</v>
      </c>
    </row>
    <row r="28" spans="1:4">
      <c r="A28">
        <v>2213</v>
      </c>
      <c r="B28" t="s">
        <v>45</v>
      </c>
      <c r="C28" t="s">
        <v>31</v>
      </c>
      <c r="D28" t="s">
        <v>42</v>
      </c>
    </row>
    <row r="29" spans="1:4">
      <c r="A29">
        <v>293</v>
      </c>
      <c r="B29" t="s">
        <v>46</v>
      </c>
      <c r="C29" t="s">
        <v>47</v>
      </c>
      <c r="D29" t="s">
        <v>48</v>
      </c>
    </row>
    <row r="30" spans="1:4">
      <c r="A30">
        <v>1780</v>
      </c>
      <c r="B30" t="s">
        <v>49</v>
      </c>
      <c r="C30" t="s">
        <v>47</v>
      </c>
      <c r="D30" t="s">
        <v>50</v>
      </c>
    </row>
    <row r="31" spans="1:4">
      <c r="A31">
        <v>460</v>
      </c>
      <c r="B31" t="s">
        <v>51</v>
      </c>
      <c r="C31" t="s">
        <v>47</v>
      </c>
      <c r="D31" t="s">
        <v>50</v>
      </c>
    </row>
    <row r="32" spans="1:4">
      <c r="A32">
        <v>291</v>
      </c>
      <c r="B32" t="s">
        <v>52</v>
      </c>
      <c r="C32" t="s">
        <v>47</v>
      </c>
      <c r="D32" t="s">
        <v>50</v>
      </c>
    </row>
    <row r="33" spans="1:4">
      <c r="A33">
        <v>1438</v>
      </c>
      <c r="B33" t="s">
        <v>53</v>
      </c>
      <c r="C33" t="s">
        <v>47</v>
      </c>
      <c r="D33" t="s">
        <v>50</v>
      </c>
    </row>
    <row r="34" spans="1:4">
      <c r="A34">
        <v>294</v>
      </c>
      <c r="B34" t="s">
        <v>54</v>
      </c>
      <c r="C34" t="s">
        <v>47</v>
      </c>
      <c r="D34" t="s">
        <v>50</v>
      </c>
    </row>
    <row r="35" spans="1:4">
      <c r="A35">
        <v>2098</v>
      </c>
      <c r="B35" t="s">
        <v>55</v>
      </c>
      <c r="C35" t="s">
        <v>47</v>
      </c>
      <c r="D35" t="s">
        <v>50</v>
      </c>
    </row>
    <row r="36" spans="1:4">
      <c r="A36">
        <v>350</v>
      </c>
      <c r="B36" t="s">
        <v>56</v>
      </c>
      <c r="C36" t="s">
        <v>57</v>
      </c>
      <c r="D36" t="s">
        <v>58</v>
      </c>
    </row>
    <row r="37" spans="1:4">
      <c r="A37">
        <v>2193</v>
      </c>
      <c r="B37" t="s">
        <v>59</v>
      </c>
      <c r="C37" t="s">
        <v>57</v>
      </c>
      <c r="D37" t="s">
        <v>58</v>
      </c>
    </row>
    <row r="38" spans="1:4">
      <c r="A38">
        <v>1587</v>
      </c>
      <c r="B38" t="s">
        <v>60</v>
      </c>
      <c r="C38" t="s">
        <v>57</v>
      </c>
      <c r="D38" t="s">
        <v>58</v>
      </c>
    </row>
    <row r="39" spans="1:4">
      <c r="A39">
        <v>2146</v>
      </c>
      <c r="B39" t="s">
        <v>61</v>
      </c>
      <c r="C39" t="s">
        <v>57</v>
      </c>
      <c r="D39" t="s">
        <v>58</v>
      </c>
    </row>
    <row r="40" spans="1:4">
      <c r="A40">
        <v>2235</v>
      </c>
      <c r="B40" t="s">
        <v>62</v>
      </c>
      <c r="C40" t="s">
        <v>57</v>
      </c>
      <c r="D40" t="s">
        <v>58</v>
      </c>
    </row>
    <row r="41" spans="1:4">
      <c r="A41">
        <v>2082</v>
      </c>
      <c r="B41" t="s">
        <v>63</v>
      </c>
      <c r="C41" t="s">
        <v>57</v>
      </c>
      <c r="D41" t="s">
        <v>64</v>
      </c>
    </row>
    <row r="42" spans="1:4">
      <c r="A42">
        <v>768</v>
      </c>
      <c r="B42" t="s">
        <v>65</v>
      </c>
      <c r="C42" t="s">
        <v>57</v>
      </c>
      <c r="D42" t="s">
        <v>64</v>
      </c>
    </row>
    <row r="43" spans="1:4">
      <c r="A43">
        <v>296</v>
      </c>
      <c r="B43" t="s">
        <v>66</v>
      </c>
      <c r="C43" t="s">
        <v>57</v>
      </c>
      <c r="D43" t="s">
        <v>64</v>
      </c>
    </row>
    <row r="44" spans="1:4">
      <c r="A44">
        <v>1938</v>
      </c>
      <c r="B44" t="s">
        <v>67</v>
      </c>
      <c r="C44" t="s">
        <v>57</v>
      </c>
      <c r="D44" t="s">
        <v>64</v>
      </c>
    </row>
    <row r="45" spans="1:4">
      <c r="A45">
        <v>2214</v>
      </c>
      <c r="B45" t="s">
        <v>68</v>
      </c>
      <c r="C45" t="s">
        <v>57</v>
      </c>
      <c r="D45" t="s">
        <v>64</v>
      </c>
    </row>
    <row r="46" spans="1:4">
      <c r="A46">
        <v>1832</v>
      </c>
      <c r="B46" t="s">
        <v>69</v>
      </c>
      <c r="C46" t="s">
        <v>57</v>
      </c>
      <c r="D46" t="s">
        <v>64</v>
      </c>
    </row>
    <row r="47" spans="1:4">
      <c r="A47">
        <v>469</v>
      </c>
      <c r="B47" t="s">
        <v>70</v>
      </c>
      <c r="C47" t="s">
        <v>57</v>
      </c>
      <c r="D47" t="s">
        <v>64</v>
      </c>
    </row>
    <row r="48" spans="1:4">
      <c r="A48">
        <v>1062</v>
      </c>
      <c r="B48" t="s">
        <v>71</v>
      </c>
      <c r="C48" t="s">
        <v>57</v>
      </c>
      <c r="D48" t="s">
        <v>64</v>
      </c>
    </row>
    <row r="49" spans="1:4">
      <c r="A49">
        <v>2194</v>
      </c>
      <c r="B49" t="s">
        <v>72</v>
      </c>
      <c r="C49" t="s">
        <v>57</v>
      </c>
      <c r="D49" t="s">
        <v>64</v>
      </c>
    </row>
    <row r="50" spans="1:4">
      <c r="A50">
        <v>1853</v>
      </c>
      <c r="B50" t="s">
        <v>73</v>
      </c>
      <c r="C50" t="s">
        <v>57</v>
      </c>
      <c r="D50" t="s">
        <v>64</v>
      </c>
    </row>
    <row r="51" spans="1:4">
      <c r="A51">
        <v>2206</v>
      </c>
      <c r="B51" t="s">
        <v>74</v>
      </c>
      <c r="C51" t="s">
        <v>75</v>
      </c>
      <c r="D51" t="s">
        <v>76</v>
      </c>
    </row>
    <row r="52" spans="1:4">
      <c r="A52">
        <v>1742</v>
      </c>
      <c r="B52" t="s">
        <v>77</v>
      </c>
      <c r="C52" t="s">
        <v>75</v>
      </c>
      <c r="D52" t="s">
        <v>76</v>
      </c>
    </row>
    <row r="53" spans="1:4">
      <c r="A53">
        <v>510</v>
      </c>
      <c r="B53" t="s">
        <v>78</v>
      </c>
      <c r="C53" t="s">
        <v>75</v>
      </c>
      <c r="D53" t="s">
        <v>79</v>
      </c>
    </row>
    <row r="54" spans="1:4">
      <c r="A54">
        <v>1267</v>
      </c>
      <c r="B54" t="s">
        <v>80</v>
      </c>
      <c r="C54" t="s">
        <v>75</v>
      </c>
      <c r="D54" t="s">
        <v>81</v>
      </c>
    </row>
    <row r="55" spans="1:4">
      <c r="A55">
        <v>499</v>
      </c>
      <c r="B55" t="s">
        <v>82</v>
      </c>
      <c r="C55" t="s">
        <v>75</v>
      </c>
      <c r="D55" t="s">
        <v>81</v>
      </c>
    </row>
    <row r="56" spans="1:4">
      <c r="A56">
        <v>1874</v>
      </c>
      <c r="B56" t="s">
        <v>83</v>
      </c>
      <c r="C56" t="s">
        <v>75</v>
      </c>
      <c r="D56" t="s">
        <v>84</v>
      </c>
    </row>
    <row r="57" spans="1:4">
      <c r="A57">
        <v>1646</v>
      </c>
      <c r="B57" t="s">
        <v>85</v>
      </c>
      <c r="C57" t="s">
        <v>75</v>
      </c>
      <c r="D57" t="s">
        <v>84</v>
      </c>
    </row>
    <row r="58" spans="1:4">
      <c r="A58">
        <v>1723</v>
      </c>
      <c r="B58" t="s">
        <v>86</v>
      </c>
      <c r="C58" t="s">
        <v>75</v>
      </c>
      <c r="D58" t="s">
        <v>84</v>
      </c>
    </row>
    <row r="59" spans="1:4">
      <c r="A59">
        <v>1735</v>
      </c>
      <c r="B59" t="s">
        <v>87</v>
      </c>
      <c r="C59" t="s">
        <v>88</v>
      </c>
      <c r="D59" t="s">
        <v>89</v>
      </c>
    </row>
    <row r="60" spans="1:4">
      <c r="A60">
        <v>1431</v>
      </c>
      <c r="B60" t="s">
        <v>90</v>
      </c>
      <c r="C60" t="s">
        <v>88</v>
      </c>
      <c r="D60" t="s">
        <v>91</v>
      </c>
    </row>
    <row r="61" spans="1:4">
      <c r="A61">
        <v>2211</v>
      </c>
      <c r="B61" t="s">
        <v>92</v>
      </c>
      <c r="C61" t="s">
        <v>88</v>
      </c>
      <c r="D61" t="s">
        <v>91</v>
      </c>
    </row>
    <row r="62" spans="1:4">
      <c r="A62">
        <v>520</v>
      </c>
      <c r="B62" t="s">
        <v>93</v>
      </c>
      <c r="C62" t="s">
        <v>88</v>
      </c>
      <c r="D62" t="s">
        <v>94</v>
      </c>
    </row>
    <row r="63" spans="1:4">
      <c r="A63">
        <v>2183</v>
      </c>
      <c r="B63" t="s">
        <v>95</v>
      </c>
      <c r="C63" t="s">
        <v>88</v>
      </c>
      <c r="D63" t="s">
        <v>96</v>
      </c>
    </row>
    <row r="64" spans="1:4">
      <c r="A64">
        <v>1160</v>
      </c>
      <c r="B64" t="s">
        <v>97</v>
      </c>
      <c r="C64" t="s">
        <v>88</v>
      </c>
      <c r="D64" t="s">
        <v>98</v>
      </c>
    </row>
    <row r="65" spans="1:4">
      <c r="A65">
        <v>1702</v>
      </c>
      <c r="B65" t="s">
        <v>99</v>
      </c>
      <c r="C65" t="s">
        <v>88</v>
      </c>
      <c r="D65" t="s">
        <v>100</v>
      </c>
    </row>
    <row r="66" spans="1:4">
      <c r="A66">
        <v>1428</v>
      </c>
      <c r="B66" t="s">
        <v>101</v>
      </c>
      <c r="C66" t="s">
        <v>102</v>
      </c>
      <c r="D66" t="s">
        <v>103</v>
      </c>
    </row>
    <row r="67" spans="1:4">
      <c r="A67">
        <v>1729</v>
      </c>
      <c r="B67" t="s">
        <v>104</v>
      </c>
      <c r="C67" t="s">
        <v>102</v>
      </c>
      <c r="D67" t="s">
        <v>103</v>
      </c>
    </row>
    <row r="68" spans="1:4">
      <c r="A68">
        <v>1384</v>
      </c>
      <c r="B68" t="s">
        <v>105</v>
      </c>
      <c r="C68" t="s">
        <v>102</v>
      </c>
      <c r="D68" t="s">
        <v>103</v>
      </c>
    </row>
    <row r="69" spans="1:4">
      <c r="A69">
        <v>482</v>
      </c>
      <c r="B69" t="s">
        <v>106</v>
      </c>
      <c r="C69" t="s">
        <v>102</v>
      </c>
      <c r="D69" t="s">
        <v>107</v>
      </c>
    </row>
    <row r="70" spans="1:4">
      <c r="A70">
        <v>1025</v>
      </c>
      <c r="B70" t="s">
        <v>108</v>
      </c>
      <c r="C70" t="s">
        <v>102</v>
      </c>
      <c r="D70" t="s">
        <v>109</v>
      </c>
    </row>
    <row r="71" spans="1:4">
      <c r="A71">
        <v>297</v>
      </c>
      <c r="B71" t="s">
        <v>110</v>
      </c>
      <c r="C71" t="s">
        <v>102</v>
      </c>
      <c r="D71" t="s">
        <v>111</v>
      </c>
    </row>
    <row r="72" spans="1:4">
      <c r="A72">
        <v>2165</v>
      </c>
      <c r="B72" t="s">
        <v>112</v>
      </c>
      <c r="C72" t="s">
        <v>102</v>
      </c>
      <c r="D72" t="s">
        <v>111</v>
      </c>
    </row>
    <row r="73" spans="1:4">
      <c r="A73">
        <v>480</v>
      </c>
      <c r="B73" t="s">
        <v>113</v>
      </c>
      <c r="C73" t="s">
        <v>102</v>
      </c>
      <c r="D73" t="s">
        <v>111</v>
      </c>
    </row>
    <row r="74" spans="1:4">
      <c r="A74">
        <v>571</v>
      </c>
      <c r="B74" t="s">
        <v>114</v>
      </c>
      <c r="C74" t="s">
        <v>115</v>
      </c>
      <c r="D74" t="s">
        <v>116</v>
      </c>
    </row>
    <row r="75" spans="1:4">
      <c r="A75">
        <v>2200</v>
      </c>
      <c r="B75" t="s">
        <v>117</v>
      </c>
      <c r="C75" t="s">
        <v>115</v>
      </c>
      <c r="D75" t="s">
        <v>116</v>
      </c>
    </row>
    <row r="76" spans="1:4">
      <c r="A76">
        <v>1595</v>
      </c>
      <c r="B76" t="s">
        <v>118</v>
      </c>
      <c r="C76" t="s">
        <v>115</v>
      </c>
      <c r="D76" t="s">
        <v>119</v>
      </c>
    </row>
    <row r="77" spans="1:4">
      <c r="A77">
        <v>1488</v>
      </c>
      <c r="B77" t="s">
        <v>120</v>
      </c>
      <c r="C77" t="s">
        <v>115</v>
      </c>
      <c r="D77" t="s">
        <v>121</v>
      </c>
    </row>
    <row r="78" spans="1:4">
      <c r="A78">
        <v>1436</v>
      </c>
      <c r="B78" t="s">
        <v>122</v>
      </c>
      <c r="C78" t="s">
        <v>115</v>
      </c>
      <c r="D78" t="s">
        <v>123</v>
      </c>
    </row>
    <row r="79" spans="1:4">
      <c r="A79">
        <v>1688</v>
      </c>
      <c r="B79" t="s">
        <v>124</v>
      </c>
      <c r="C79" t="s">
        <v>125</v>
      </c>
      <c r="D79" t="s">
        <v>126</v>
      </c>
    </row>
    <row r="80" spans="1:4">
      <c r="A80">
        <v>1696</v>
      </c>
      <c r="B80" t="s">
        <v>127</v>
      </c>
      <c r="C80" t="s">
        <v>125</v>
      </c>
      <c r="D80" t="s">
        <v>126</v>
      </c>
    </row>
    <row r="81" spans="1:4">
      <c r="A81">
        <v>2187</v>
      </c>
      <c r="B81" t="s">
        <v>128</v>
      </c>
      <c r="C81" t="s">
        <v>125</v>
      </c>
      <c r="D81" t="s">
        <v>129</v>
      </c>
    </row>
    <row r="82" spans="1:4">
      <c r="A82">
        <v>1433</v>
      </c>
      <c r="B82" t="s">
        <v>130</v>
      </c>
      <c r="C82" t="s">
        <v>125</v>
      </c>
      <c r="D82" t="s">
        <v>129</v>
      </c>
    </row>
    <row r="83" spans="1:4">
      <c r="A83">
        <v>539</v>
      </c>
      <c r="B83" t="s">
        <v>131</v>
      </c>
      <c r="C83" t="s">
        <v>125</v>
      </c>
      <c r="D83" t="s">
        <v>132</v>
      </c>
    </row>
    <row r="84" spans="1:4">
      <c r="A84">
        <v>1719</v>
      </c>
      <c r="B84" t="s">
        <v>133</v>
      </c>
      <c r="C84" t="s">
        <v>125</v>
      </c>
      <c r="D84" t="s">
        <v>134</v>
      </c>
    </row>
    <row r="85" spans="1:4">
      <c r="A85">
        <v>528</v>
      </c>
      <c r="B85" t="s">
        <v>135</v>
      </c>
      <c r="C85" t="s">
        <v>136</v>
      </c>
      <c r="D85" t="s">
        <v>137</v>
      </c>
    </row>
    <row r="86" spans="1:4">
      <c r="A86">
        <v>812</v>
      </c>
      <c r="B86" t="s">
        <v>138</v>
      </c>
      <c r="C86" t="s">
        <v>136</v>
      </c>
      <c r="D86" t="s">
        <v>139</v>
      </c>
    </row>
    <row r="87" spans="1:4">
      <c r="A87">
        <v>533</v>
      </c>
      <c r="B87" t="s">
        <v>140</v>
      </c>
      <c r="C87" t="s">
        <v>136</v>
      </c>
      <c r="D87" t="s">
        <v>141</v>
      </c>
    </row>
    <row r="88" spans="1:4">
      <c r="A88">
        <v>1410</v>
      </c>
      <c r="B88" t="s">
        <v>142</v>
      </c>
      <c r="C88" t="s">
        <v>136</v>
      </c>
      <c r="D88" t="s">
        <v>141</v>
      </c>
    </row>
    <row r="89" spans="1:4">
      <c r="A89">
        <v>1531</v>
      </c>
      <c r="B89" t="s">
        <v>143</v>
      </c>
      <c r="C89" t="s">
        <v>136</v>
      </c>
      <c r="D89" t="s">
        <v>144</v>
      </c>
    </row>
    <row r="90" spans="1:4">
      <c r="A90">
        <v>1900</v>
      </c>
      <c r="B90" t="s">
        <v>145</v>
      </c>
      <c r="C90" t="s">
        <v>136</v>
      </c>
      <c r="D90" t="s">
        <v>144</v>
      </c>
    </row>
    <row r="91" spans="1:4">
      <c r="A91">
        <v>271</v>
      </c>
      <c r="B91" t="s">
        <v>146</v>
      </c>
      <c r="C91" t="s">
        <v>136</v>
      </c>
      <c r="D91" t="s">
        <v>147</v>
      </c>
    </row>
    <row r="92" spans="1:4">
      <c r="A92">
        <v>1205</v>
      </c>
      <c r="B92" t="s">
        <v>148</v>
      </c>
      <c r="C92" t="s">
        <v>136</v>
      </c>
      <c r="D92" t="s">
        <v>147</v>
      </c>
    </row>
    <row r="93" spans="1:4">
      <c r="A93">
        <v>1754</v>
      </c>
      <c r="B93" t="s">
        <v>149</v>
      </c>
      <c r="C93" t="s">
        <v>136</v>
      </c>
      <c r="D93" t="s">
        <v>147</v>
      </c>
    </row>
    <row r="94" spans="1:4">
      <c r="A94">
        <v>273</v>
      </c>
      <c r="B94" t="s">
        <v>18</v>
      </c>
      <c r="C94" t="s">
        <v>136</v>
      </c>
      <c r="D94" t="s">
        <v>147</v>
      </c>
    </row>
    <row r="95" spans="1:4">
      <c r="A95">
        <v>2171</v>
      </c>
      <c r="B95" t="s">
        <v>150</v>
      </c>
      <c r="C95" t="s">
        <v>136</v>
      </c>
      <c r="D95" t="s">
        <v>147</v>
      </c>
    </row>
    <row r="96" spans="1:4">
      <c r="A96">
        <v>526</v>
      </c>
      <c r="B96" t="s">
        <v>151</v>
      </c>
      <c r="C96" t="s">
        <v>136</v>
      </c>
      <c r="D96" t="s">
        <v>147</v>
      </c>
    </row>
    <row r="97" spans="1:4">
      <c r="A97">
        <v>2216</v>
      </c>
      <c r="B97" t="s">
        <v>152</v>
      </c>
      <c r="C97" t="s">
        <v>153</v>
      </c>
      <c r="D97" t="s">
        <v>154</v>
      </c>
    </row>
    <row r="98" spans="1:4">
      <c r="A98">
        <v>2140</v>
      </c>
      <c r="B98" t="s">
        <v>155</v>
      </c>
      <c r="C98" t="s">
        <v>153</v>
      </c>
      <c r="D98" t="s">
        <v>154</v>
      </c>
    </row>
    <row r="99" spans="1:4">
      <c r="A99">
        <v>286</v>
      </c>
      <c r="B99" t="s">
        <v>156</v>
      </c>
      <c r="C99" t="s">
        <v>153</v>
      </c>
      <c r="D99" t="s">
        <v>154</v>
      </c>
    </row>
    <row r="100" spans="1:4">
      <c r="A100">
        <v>284</v>
      </c>
      <c r="B100" t="s">
        <v>157</v>
      </c>
      <c r="C100" t="s">
        <v>153</v>
      </c>
      <c r="D100" t="s">
        <v>154</v>
      </c>
    </row>
    <row r="101" spans="1:4">
      <c r="A101">
        <v>1875</v>
      </c>
      <c r="B101" t="s">
        <v>158</v>
      </c>
      <c r="C101" t="s">
        <v>153</v>
      </c>
      <c r="D101" t="s">
        <v>154</v>
      </c>
    </row>
    <row r="102" spans="1:4">
      <c r="A102">
        <v>777</v>
      </c>
      <c r="B102" t="s">
        <v>159</v>
      </c>
      <c r="C102" t="s">
        <v>153</v>
      </c>
      <c r="D102" t="s">
        <v>154</v>
      </c>
    </row>
    <row r="103" spans="1:4">
      <c r="A103">
        <v>554</v>
      </c>
      <c r="B103" t="s">
        <v>160</v>
      </c>
      <c r="C103" t="s">
        <v>153</v>
      </c>
      <c r="D103" t="s">
        <v>161</v>
      </c>
    </row>
    <row r="104" spans="1:4">
      <c r="A104">
        <v>544</v>
      </c>
      <c r="B104" t="s">
        <v>162</v>
      </c>
      <c r="C104" t="s">
        <v>163</v>
      </c>
      <c r="D104" t="s">
        <v>164</v>
      </c>
    </row>
    <row r="105" spans="1:4">
      <c r="A105">
        <v>1635</v>
      </c>
      <c r="B105" t="s">
        <v>165</v>
      </c>
      <c r="C105" t="s">
        <v>163</v>
      </c>
      <c r="D105" t="s">
        <v>166</v>
      </c>
    </row>
    <row r="106" spans="1:4">
      <c r="A106">
        <v>1416</v>
      </c>
      <c r="B106" t="s">
        <v>167</v>
      </c>
      <c r="C106" t="s">
        <v>163</v>
      </c>
      <c r="D106" t="s">
        <v>166</v>
      </c>
    </row>
    <row r="107" spans="1:4">
      <c r="A107">
        <v>1971</v>
      </c>
      <c r="B107" t="s">
        <v>168</v>
      </c>
      <c r="C107" t="s">
        <v>163</v>
      </c>
      <c r="D107" t="s">
        <v>166</v>
      </c>
    </row>
    <row r="108" spans="1:4">
      <c r="A108">
        <v>2072</v>
      </c>
      <c r="B108" t="s">
        <v>169</v>
      </c>
      <c r="C108" t="s">
        <v>163</v>
      </c>
      <c r="D108" t="s">
        <v>170</v>
      </c>
    </row>
    <row r="109" spans="1:4">
      <c r="A109">
        <v>287</v>
      </c>
      <c r="B109" t="s">
        <v>171</v>
      </c>
      <c r="C109" t="s">
        <v>163</v>
      </c>
      <c r="D109" t="s">
        <v>172</v>
      </c>
    </row>
    <row r="110" spans="1:4">
      <c r="A110">
        <v>288</v>
      </c>
      <c r="B110" t="s">
        <v>173</v>
      </c>
      <c r="C110" t="s">
        <v>163</v>
      </c>
      <c r="D110" t="s">
        <v>174</v>
      </c>
    </row>
    <row r="111" spans="1:4">
      <c r="A111">
        <v>546</v>
      </c>
      <c r="B111" t="s">
        <v>175</v>
      </c>
      <c r="C111" t="s">
        <v>163</v>
      </c>
      <c r="D111" t="s">
        <v>176</v>
      </c>
    </row>
    <row r="112" spans="1:4">
      <c r="A112">
        <v>548</v>
      </c>
      <c r="B112" t="s">
        <v>177</v>
      </c>
      <c r="C112" t="s">
        <v>178</v>
      </c>
      <c r="D112" t="s">
        <v>179</v>
      </c>
    </row>
    <row r="113" spans="1:4">
      <c r="A113">
        <v>1549</v>
      </c>
      <c r="B113" t="s">
        <v>180</v>
      </c>
      <c r="C113" t="s">
        <v>178</v>
      </c>
      <c r="D113" t="s">
        <v>181</v>
      </c>
    </row>
    <row r="114" spans="1:4">
      <c r="A114">
        <v>1878</v>
      </c>
      <c r="B114" t="s">
        <v>182</v>
      </c>
      <c r="C114" t="s">
        <v>178</v>
      </c>
      <c r="D114" t="s">
        <v>181</v>
      </c>
    </row>
    <row r="115" spans="1:4">
      <c r="A115">
        <v>1868</v>
      </c>
      <c r="B115" t="s">
        <v>183</v>
      </c>
      <c r="C115" t="s">
        <v>178</v>
      </c>
      <c r="D115" t="s">
        <v>184</v>
      </c>
    </row>
    <row r="116" spans="1:4">
      <c r="A116">
        <v>1427</v>
      </c>
      <c r="B116" t="s">
        <v>185</v>
      </c>
      <c r="C116" t="s">
        <v>178</v>
      </c>
      <c r="D116" t="s">
        <v>184</v>
      </c>
    </row>
    <row r="117" spans="1:4">
      <c r="A117">
        <v>289</v>
      </c>
      <c r="B117" t="s">
        <v>186</v>
      </c>
      <c r="C117" t="s">
        <v>178</v>
      </c>
      <c r="D117" t="s">
        <v>187</v>
      </c>
    </row>
    <row r="118" spans="1:4">
      <c r="A118">
        <v>2221</v>
      </c>
      <c r="B118" t="s">
        <v>188</v>
      </c>
      <c r="C118" t="s">
        <v>189</v>
      </c>
      <c r="D118" t="s">
        <v>190</v>
      </c>
    </row>
    <row r="119" spans="1:4">
      <c r="A119">
        <v>1537</v>
      </c>
      <c r="B119" t="s">
        <v>191</v>
      </c>
      <c r="C119" t="s">
        <v>189</v>
      </c>
      <c r="D119" t="s">
        <v>190</v>
      </c>
    </row>
    <row r="120" spans="1:4">
      <c r="A120">
        <v>283</v>
      </c>
      <c r="B120" t="s">
        <v>192</v>
      </c>
      <c r="C120" t="s">
        <v>189</v>
      </c>
      <c r="D120" t="s">
        <v>190</v>
      </c>
    </row>
    <row r="121" spans="1:4">
      <c r="A121">
        <v>1539</v>
      </c>
      <c r="B121" t="s">
        <v>193</v>
      </c>
      <c r="C121" t="s">
        <v>189</v>
      </c>
      <c r="D121" t="s">
        <v>190</v>
      </c>
    </row>
    <row r="122" spans="1:4">
      <c r="A122">
        <v>1943</v>
      </c>
      <c r="B122" t="s">
        <v>194</v>
      </c>
      <c r="C122" t="s">
        <v>189</v>
      </c>
      <c r="D122" t="s">
        <v>190</v>
      </c>
    </row>
    <row r="123" spans="1:4">
      <c r="A123">
        <v>1541</v>
      </c>
      <c r="B123" t="s">
        <v>195</v>
      </c>
      <c r="C123" t="s">
        <v>196</v>
      </c>
      <c r="D123" t="s">
        <v>197</v>
      </c>
    </row>
    <row r="124" spans="1:4">
      <c r="A124">
        <v>1775</v>
      </c>
      <c r="B124" t="s">
        <v>198</v>
      </c>
      <c r="C124" t="s">
        <v>196</v>
      </c>
      <c r="D124" t="s">
        <v>199</v>
      </c>
    </row>
    <row r="125" spans="1:4">
      <c r="A125">
        <v>1543</v>
      </c>
      <c r="B125" t="s">
        <v>200</v>
      </c>
      <c r="C125" t="s">
        <v>196</v>
      </c>
      <c r="D125" t="s">
        <v>199</v>
      </c>
    </row>
    <row r="126" spans="1:4">
      <c r="A126">
        <v>1837</v>
      </c>
      <c r="B126" t="s">
        <v>201</v>
      </c>
      <c r="C126" t="s">
        <v>196</v>
      </c>
      <c r="D126" t="s">
        <v>199</v>
      </c>
    </row>
    <row r="127" spans="1:4">
      <c r="A127">
        <v>1992</v>
      </c>
      <c r="B127" t="s">
        <v>202</v>
      </c>
      <c r="C127" t="s">
        <v>203</v>
      </c>
      <c r="D127" t="s">
        <v>204</v>
      </c>
    </row>
    <row r="128" spans="1:4">
      <c r="A128">
        <v>1996</v>
      </c>
      <c r="B128" t="s">
        <v>186</v>
      </c>
      <c r="C128" t="s">
        <v>203</v>
      </c>
      <c r="D128" t="s">
        <v>204</v>
      </c>
    </row>
    <row r="129" spans="1:4">
      <c r="A129">
        <v>156</v>
      </c>
      <c r="B129" t="s">
        <v>205</v>
      </c>
      <c r="C129" t="s">
        <v>206</v>
      </c>
      <c r="D129" t="s">
        <v>207</v>
      </c>
    </row>
    <row r="130" spans="1:4">
      <c r="A130">
        <v>157</v>
      </c>
      <c r="B130" t="s">
        <v>208</v>
      </c>
      <c r="C130" t="s">
        <v>206</v>
      </c>
      <c r="D130" t="s">
        <v>207</v>
      </c>
    </row>
    <row r="131" spans="1:4">
      <c r="A131">
        <v>1092</v>
      </c>
      <c r="B131" t="s">
        <v>209</v>
      </c>
      <c r="C131" t="s">
        <v>206</v>
      </c>
      <c r="D131" t="s">
        <v>207</v>
      </c>
    </row>
    <row r="132" spans="1:4">
      <c r="A132">
        <v>1117</v>
      </c>
      <c r="B132" t="s">
        <v>210</v>
      </c>
      <c r="C132" t="s">
        <v>206</v>
      </c>
      <c r="D132" t="s">
        <v>207</v>
      </c>
    </row>
    <row r="133" spans="1:4">
      <c r="A133">
        <v>155</v>
      </c>
      <c r="B133" t="s">
        <v>211</v>
      </c>
      <c r="C133" t="s">
        <v>206</v>
      </c>
      <c r="D133" t="s">
        <v>207</v>
      </c>
    </row>
    <row r="134" spans="1:4">
      <c r="A134">
        <v>1929</v>
      </c>
      <c r="B134" t="s">
        <v>212</v>
      </c>
      <c r="C134" t="s">
        <v>213</v>
      </c>
      <c r="D134" t="s">
        <v>214</v>
      </c>
    </row>
    <row r="135" spans="1:4">
      <c r="A135">
        <v>1910</v>
      </c>
      <c r="B135" t="s">
        <v>215</v>
      </c>
      <c r="C135" t="s">
        <v>213</v>
      </c>
      <c r="D135" t="s">
        <v>214</v>
      </c>
    </row>
    <row r="136" spans="1:4">
      <c r="A136">
        <v>316</v>
      </c>
      <c r="B136" t="s">
        <v>216</v>
      </c>
      <c r="C136" t="s">
        <v>213</v>
      </c>
      <c r="D136" t="s">
        <v>214</v>
      </c>
    </row>
    <row r="137" spans="1:4">
      <c r="A137">
        <v>172</v>
      </c>
      <c r="B137" t="s">
        <v>217</v>
      </c>
      <c r="C137" t="s">
        <v>213</v>
      </c>
      <c r="D137" t="s">
        <v>214</v>
      </c>
    </row>
    <row r="138" spans="1:4">
      <c r="A138">
        <v>173</v>
      </c>
      <c r="B138" t="s">
        <v>218</v>
      </c>
      <c r="C138" t="s">
        <v>213</v>
      </c>
      <c r="D138" t="s">
        <v>214</v>
      </c>
    </row>
    <row r="139" spans="1:4">
      <c r="A139">
        <v>2083</v>
      </c>
      <c r="B139" t="s">
        <v>219</v>
      </c>
      <c r="C139" t="s">
        <v>220</v>
      </c>
      <c r="D139" t="s">
        <v>221</v>
      </c>
    </row>
    <row r="140" spans="1:4">
      <c r="A140">
        <v>2141</v>
      </c>
      <c r="B140" t="s">
        <v>222</v>
      </c>
      <c r="C140" t="s">
        <v>220</v>
      </c>
      <c r="D140" t="s">
        <v>221</v>
      </c>
    </row>
    <row r="141" spans="1:4">
      <c r="A141">
        <v>2008</v>
      </c>
      <c r="B141" t="s">
        <v>223</v>
      </c>
      <c r="C141" t="s">
        <v>220</v>
      </c>
      <c r="D141" t="s">
        <v>221</v>
      </c>
    </row>
    <row r="142" spans="1:4">
      <c r="A142">
        <v>1998</v>
      </c>
      <c r="B142" t="s">
        <v>224</v>
      </c>
      <c r="C142" t="s">
        <v>220</v>
      </c>
      <c r="D142" t="s">
        <v>221</v>
      </c>
    </row>
    <row r="143" spans="1:4">
      <c r="A143">
        <v>1979</v>
      </c>
      <c r="B143" t="s">
        <v>225</v>
      </c>
      <c r="C143" t="s">
        <v>226</v>
      </c>
      <c r="D143" t="s">
        <v>227</v>
      </c>
    </row>
    <row r="144" spans="1:4">
      <c r="A144">
        <v>189</v>
      </c>
      <c r="B144" t="s">
        <v>228</v>
      </c>
      <c r="C144" t="s">
        <v>226</v>
      </c>
      <c r="D144" t="s">
        <v>227</v>
      </c>
    </row>
    <row r="145" spans="1:4">
      <c r="A145">
        <v>193</v>
      </c>
      <c r="B145" t="s">
        <v>229</v>
      </c>
      <c r="C145" t="s">
        <v>226</v>
      </c>
      <c r="D145" t="s">
        <v>227</v>
      </c>
    </row>
    <row r="146" spans="1:4">
      <c r="A146">
        <v>319</v>
      </c>
      <c r="B146" t="s">
        <v>230</v>
      </c>
      <c r="C146" t="s">
        <v>226</v>
      </c>
      <c r="D146" t="s">
        <v>227</v>
      </c>
    </row>
    <row r="147" spans="1:4">
      <c r="A147">
        <v>1291</v>
      </c>
      <c r="B147" t="s">
        <v>231</v>
      </c>
      <c r="C147" t="s">
        <v>226</v>
      </c>
      <c r="D147" t="s">
        <v>227</v>
      </c>
    </row>
    <row r="148" spans="1:4">
      <c r="A148">
        <v>194</v>
      </c>
      <c r="B148" t="s">
        <v>232</v>
      </c>
      <c r="C148" t="s">
        <v>226</v>
      </c>
      <c r="D148" t="s">
        <v>227</v>
      </c>
    </row>
    <row r="149" spans="1:4">
      <c r="A149">
        <v>195</v>
      </c>
      <c r="B149" t="s">
        <v>233</v>
      </c>
      <c r="C149" t="s">
        <v>226</v>
      </c>
      <c r="D149" t="s">
        <v>227</v>
      </c>
    </row>
    <row r="150" spans="1:4">
      <c r="A150">
        <v>2001</v>
      </c>
      <c r="B150" t="s">
        <v>234</v>
      </c>
      <c r="C150" t="s">
        <v>235</v>
      </c>
      <c r="D150" t="s">
        <v>236</v>
      </c>
    </row>
    <row r="151" spans="1:4">
      <c r="A151">
        <v>2002</v>
      </c>
      <c r="B151" t="s">
        <v>237</v>
      </c>
      <c r="C151" t="s">
        <v>235</v>
      </c>
      <c r="D151" t="s">
        <v>236</v>
      </c>
    </row>
    <row r="152" spans="1:4">
      <c r="A152">
        <v>2003</v>
      </c>
      <c r="B152" t="s">
        <v>238</v>
      </c>
      <c r="C152" t="s">
        <v>235</v>
      </c>
      <c r="D152" t="s">
        <v>236</v>
      </c>
    </row>
    <row r="153" spans="1:4">
      <c r="A153">
        <v>2004</v>
      </c>
      <c r="B153" t="s">
        <v>239</v>
      </c>
      <c r="C153" t="s">
        <v>235</v>
      </c>
      <c r="D153" t="s">
        <v>236</v>
      </c>
    </row>
    <row r="154" spans="1:4">
      <c r="A154">
        <v>2007</v>
      </c>
      <c r="B154" t="s">
        <v>240</v>
      </c>
      <c r="C154" t="s">
        <v>235</v>
      </c>
      <c r="D154" t="s">
        <v>236</v>
      </c>
    </row>
    <row r="155" spans="1:4">
      <c r="A155">
        <v>2192</v>
      </c>
      <c r="B155" t="s">
        <v>241</v>
      </c>
      <c r="C155" t="s">
        <v>235</v>
      </c>
      <c r="D155" t="s">
        <v>242</v>
      </c>
    </row>
    <row r="156" spans="1:4">
      <c r="A156">
        <v>2000</v>
      </c>
      <c r="B156" t="s">
        <v>243</v>
      </c>
      <c r="C156" t="s">
        <v>235</v>
      </c>
      <c r="D156" t="s">
        <v>242</v>
      </c>
    </row>
    <row r="157" spans="1:4">
      <c r="A157">
        <v>2005</v>
      </c>
      <c r="B157" t="s">
        <v>18</v>
      </c>
      <c r="C157" t="s">
        <v>235</v>
      </c>
      <c r="D157" t="s">
        <v>242</v>
      </c>
    </row>
    <row r="158" spans="1:4">
      <c r="A158">
        <v>2094</v>
      </c>
      <c r="B158" t="s">
        <v>244</v>
      </c>
      <c r="C158" t="s">
        <v>235</v>
      </c>
      <c r="D158" t="s">
        <v>242</v>
      </c>
    </row>
    <row r="159" spans="1:4">
      <c r="A159">
        <v>1949</v>
      </c>
      <c r="B159" t="s">
        <v>245</v>
      </c>
      <c r="C159" t="s">
        <v>246</v>
      </c>
      <c r="D159" t="s">
        <v>247</v>
      </c>
    </row>
    <row r="160" spans="1:4">
      <c r="A160">
        <v>1882</v>
      </c>
      <c r="B160" t="s">
        <v>248</v>
      </c>
      <c r="C160" t="s">
        <v>246</v>
      </c>
      <c r="D160" t="s">
        <v>249</v>
      </c>
    </row>
    <row r="161" spans="1:4">
      <c r="A161">
        <v>1950</v>
      </c>
      <c r="B161" t="s">
        <v>250</v>
      </c>
      <c r="C161" t="s">
        <v>246</v>
      </c>
      <c r="D161" t="s">
        <v>249</v>
      </c>
    </row>
    <row r="162" spans="1:4">
      <c r="A162">
        <v>709</v>
      </c>
      <c r="B162" t="s">
        <v>251</v>
      </c>
      <c r="C162" t="s">
        <v>246</v>
      </c>
      <c r="D162" t="s">
        <v>249</v>
      </c>
    </row>
    <row r="163" spans="1:4">
      <c r="A163">
        <v>201</v>
      </c>
      <c r="B163" t="s">
        <v>252</v>
      </c>
      <c r="C163" t="s">
        <v>246</v>
      </c>
      <c r="D163" t="s">
        <v>253</v>
      </c>
    </row>
    <row r="164" spans="1:4">
      <c r="A164">
        <v>200</v>
      </c>
      <c r="B164" t="s">
        <v>254</v>
      </c>
      <c r="C164" t="s">
        <v>246</v>
      </c>
      <c r="D164" t="s">
        <v>255</v>
      </c>
    </row>
    <row r="165" spans="1:4">
      <c r="A165">
        <v>1879</v>
      </c>
      <c r="B165" t="s">
        <v>256</v>
      </c>
      <c r="C165" t="s">
        <v>246</v>
      </c>
      <c r="D165" t="s">
        <v>257</v>
      </c>
    </row>
    <row r="166" spans="1:4">
      <c r="A166">
        <v>1934</v>
      </c>
      <c r="B166" t="s">
        <v>258</v>
      </c>
      <c r="C166" t="s">
        <v>246</v>
      </c>
      <c r="D166" t="s">
        <v>259</v>
      </c>
    </row>
    <row r="167" spans="1:4">
      <c r="A167">
        <v>1103</v>
      </c>
      <c r="B167" t="s">
        <v>260</v>
      </c>
      <c r="C167" t="s">
        <v>246</v>
      </c>
      <c r="D167" t="s">
        <v>261</v>
      </c>
    </row>
    <row r="168" spans="1:4">
      <c r="A168">
        <v>1256</v>
      </c>
      <c r="B168" t="s">
        <v>262</v>
      </c>
      <c r="C168" t="s">
        <v>246</v>
      </c>
      <c r="D168" t="s">
        <v>263</v>
      </c>
    </row>
    <row r="169" spans="1:4">
      <c r="A169">
        <v>220</v>
      </c>
      <c r="B169" t="s">
        <v>264</v>
      </c>
      <c r="C169" t="s">
        <v>265</v>
      </c>
      <c r="D169" t="s">
        <v>266</v>
      </c>
    </row>
    <row r="170" spans="1:4">
      <c r="A170">
        <v>1790</v>
      </c>
      <c r="B170" t="s">
        <v>267</v>
      </c>
      <c r="C170" t="s">
        <v>265</v>
      </c>
      <c r="D170" t="s">
        <v>266</v>
      </c>
    </row>
    <row r="171" spans="1:4">
      <c r="A171">
        <v>1750</v>
      </c>
      <c r="B171" t="s">
        <v>268</v>
      </c>
      <c r="C171" t="s">
        <v>265</v>
      </c>
      <c r="D171" t="s">
        <v>266</v>
      </c>
    </row>
    <row r="172" spans="1:4">
      <c r="A172">
        <v>1119</v>
      </c>
      <c r="B172" t="s">
        <v>269</v>
      </c>
      <c r="C172" t="s">
        <v>265</v>
      </c>
      <c r="D172" t="s">
        <v>270</v>
      </c>
    </row>
    <row r="173" spans="1:4">
      <c r="A173">
        <v>1295</v>
      </c>
      <c r="B173" t="s">
        <v>271</v>
      </c>
      <c r="C173" t="s">
        <v>265</v>
      </c>
      <c r="D173" t="s">
        <v>272</v>
      </c>
    </row>
    <row r="174" spans="1:4">
      <c r="A174">
        <v>1860</v>
      </c>
      <c r="B174" t="s">
        <v>273</v>
      </c>
      <c r="C174" t="s">
        <v>265</v>
      </c>
      <c r="D174" t="s">
        <v>274</v>
      </c>
    </row>
    <row r="175" spans="1:4">
      <c r="A175">
        <v>325</v>
      </c>
      <c r="B175" t="s">
        <v>275</v>
      </c>
      <c r="C175" t="s">
        <v>265</v>
      </c>
      <c r="D175" t="s">
        <v>276</v>
      </c>
    </row>
    <row r="176" spans="1:4">
      <c r="A176">
        <v>1812</v>
      </c>
      <c r="B176" t="s">
        <v>277</v>
      </c>
      <c r="C176" t="s">
        <v>265</v>
      </c>
      <c r="D176" t="s">
        <v>276</v>
      </c>
    </row>
    <row r="177" spans="1:4">
      <c r="A177">
        <v>933</v>
      </c>
      <c r="B177" t="s">
        <v>278</v>
      </c>
      <c r="C177" t="s">
        <v>265</v>
      </c>
      <c r="D177" t="s">
        <v>279</v>
      </c>
    </row>
    <row r="178" spans="1:4">
      <c r="A178">
        <v>2116</v>
      </c>
      <c r="B178" t="s">
        <v>280</v>
      </c>
      <c r="C178" t="s">
        <v>281</v>
      </c>
      <c r="D178" t="s">
        <v>282</v>
      </c>
    </row>
    <row r="179" spans="1:4">
      <c r="A179">
        <v>2085</v>
      </c>
      <c r="B179" t="s">
        <v>283</v>
      </c>
      <c r="C179" t="s">
        <v>281</v>
      </c>
      <c r="D179" t="s">
        <v>282</v>
      </c>
    </row>
    <row r="180" spans="1:4">
      <c r="A180">
        <v>322</v>
      </c>
      <c r="B180" t="s">
        <v>284</v>
      </c>
      <c r="C180" t="s">
        <v>281</v>
      </c>
      <c r="D180" t="s">
        <v>282</v>
      </c>
    </row>
    <row r="181" spans="1:4">
      <c r="A181">
        <v>378</v>
      </c>
      <c r="B181" t="s">
        <v>285</v>
      </c>
      <c r="C181" t="s">
        <v>281</v>
      </c>
      <c r="D181" t="s">
        <v>282</v>
      </c>
    </row>
    <row r="182" spans="1:4">
      <c r="A182">
        <v>1930</v>
      </c>
      <c r="B182" t="s">
        <v>286</v>
      </c>
      <c r="C182" t="s">
        <v>281</v>
      </c>
      <c r="D182" t="s">
        <v>282</v>
      </c>
    </row>
    <row r="183" spans="1:4">
      <c r="A183">
        <v>320</v>
      </c>
      <c r="B183" t="s">
        <v>287</v>
      </c>
      <c r="C183" t="s">
        <v>281</v>
      </c>
      <c r="D183" t="s">
        <v>282</v>
      </c>
    </row>
    <row r="184" spans="1:4">
      <c r="A184">
        <v>758</v>
      </c>
      <c r="B184" t="s">
        <v>288</v>
      </c>
      <c r="C184" t="s">
        <v>289</v>
      </c>
      <c r="D184" t="s">
        <v>290</v>
      </c>
    </row>
    <row r="185" spans="1:4">
      <c r="A185">
        <v>324</v>
      </c>
      <c r="B185" t="s">
        <v>291</v>
      </c>
      <c r="C185" t="s">
        <v>289</v>
      </c>
      <c r="D185" t="s">
        <v>290</v>
      </c>
    </row>
    <row r="186" spans="1:4">
      <c r="A186">
        <v>759</v>
      </c>
      <c r="B186" t="s">
        <v>292</v>
      </c>
      <c r="C186" t="s">
        <v>289</v>
      </c>
      <c r="D186" t="s">
        <v>290</v>
      </c>
    </row>
    <row r="187" spans="1:4">
      <c r="A187">
        <v>323</v>
      </c>
      <c r="B187" t="s">
        <v>293</v>
      </c>
      <c r="C187" t="s">
        <v>289</v>
      </c>
      <c r="D187" t="s">
        <v>290</v>
      </c>
    </row>
    <row r="188" spans="1:4">
      <c r="A188">
        <v>1412</v>
      </c>
      <c r="B188" t="s">
        <v>294</v>
      </c>
      <c r="C188" t="s">
        <v>289</v>
      </c>
      <c r="D188" t="s">
        <v>290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B9A8F-FFB2-49D0-94D5-349C6D8A1C75}">
  <sheetPr>
    <tabColor rgb="FF00B050"/>
  </sheetPr>
  <dimension ref="C2:M14"/>
  <sheetViews>
    <sheetView topLeftCell="B1" workbookViewId="0">
      <selection activeCell="G14" sqref="G14"/>
    </sheetView>
  </sheetViews>
  <sheetFormatPr defaultRowHeight="14.25"/>
  <sheetData>
    <row r="2" spans="3:13">
      <c r="E2" t="s">
        <v>300</v>
      </c>
      <c r="F2" s="6">
        <v>44949</v>
      </c>
      <c r="G2" s="6">
        <f>EDATE(F2,1)</f>
        <v>44980</v>
      </c>
      <c r="H2" s="6">
        <f t="shared" ref="H2:M2" si="0">EDATE(G2,1)</f>
        <v>45008</v>
      </c>
      <c r="I2" s="6">
        <f t="shared" si="0"/>
        <v>45039</v>
      </c>
      <c r="J2" s="6">
        <f t="shared" si="0"/>
        <v>45069</v>
      </c>
      <c r="K2" s="6">
        <f t="shared" si="0"/>
        <v>45100</v>
      </c>
      <c r="L2" s="6">
        <f t="shared" si="0"/>
        <v>45130</v>
      </c>
      <c r="M2" s="6">
        <f t="shared" si="0"/>
        <v>45161</v>
      </c>
    </row>
    <row r="3" spans="3:13">
      <c r="E3" t="s">
        <v>301</v>
      </c>
      <c r="F3">
        <v>120</v>
      </c>
      <c r="G3">
        <v>123</v>
      </c>
      <c r="H3">
        <v>145</v>
      </c>
      <c r="I3">
        <v>150</v>
      </c>
      <c r="J3">
        <v>125</v>
      </c>
      <c r="K3">
        <v>130</v>
      </c>
      <c r="L3">
        <v>140</v>
      </c>
      <c r="M3">
        <v>145</v>
      </c>
    </row>
    <row r="4" spans="3:13">
      <c r="E4" t="s">
        <v>302</v>
      </c>
      <c r="F4">
        <v>130</v>
      </c>
      <c r="G4">
        <v>140</v>
      </c>
      <c r="H4">
        <v>145</v>
      </c>
      <c r="I4">
        <v>120</v>
      </c>
      <c r="J4">
        <v>123</v>
      </c>
      <c r="K4">
        <v>145</v>
      </c>
      <c r="L4">
        <v>150</v>
      </c>
      <c r="M4">
        <v>120</v>
      </c>
    </row>
    <row r="5" spans="3:13">
      <c r="E5" t="s">
        <v>303</v>
      </c>
      <c r="F5">
        <v>130</v>
      </c>
      <c r="G5">
        <v>140</v>
      </c>
      <c r="H5">
        <v>145</v>
      </c>
      <c r="I5">
        <v>120</v>
      </c>
      <c r="J5">
        <v>123</v>
      </c>
      <c r="K5">
        <v>145</v>
      </c>
      <c r="L5">
        <v>150</v>
      </c>
      <c r="M5">
        <v>120</v>
      </c>
    </row>
    <row r="6" spans="3:13">
      <c r="E6" t="s">
        <v>304</v>
      </c>
      <c r="F6">
        <v>120</v>
      </c>
      <c r="G6">
        <v>123</v>
      </c>
      <c r="H6">
        <v>150</v>
      </c>
      <c r="I6">
        <v>150</v>
      </c>
      <c r="J6">
        <v>125</v>
      </c>
      <c r="K6">
        <v>130</v>
      </c>
      <c r="L6">
        <v>140</v>
      </c>
      <c r="M6">
        <v>145</v>
      </c>
    </row>
    <row r="7" spans="3:13">
      <c r="E7" t="s">
        <v>305</v>
      </c>
      <c r="F7">
        <v>120</v>
      </c>
      <c r="G7">
        <v>123</v>
      </c>
      <c r="H7">
        <v>145</v>
      </c>
      <c r="I7">
        <v>150</v>
      </c>
      <c r="J7">
        <v>125</v>
      </c>
      <c r="K7">
        <v>130</v>
      </c>
      <c r="L7">
        <v>140</v>
      </c>
      <c r="M7">
        <v>145</v>
      </c>
    </row>
    <row r="8" spans="3:13">
      <c r="E8" t="s">
        <v>306</v>
      </c>
      <c r="F8">
        <v>130</v>
      </c>
      <c r="G8">
        <v>140</v>
      </c>
      <c r="H8">
        <v>145</v>
      </c>
      <c r="I8">
        <v>120</v>
      </c>
      <c r="J8">
        <v>123</v>
      </c>
      <c r="K8">
        <v>145</v>
      </c>
      <c r="L8">
        <v>150</v>
      </c>
      <c r="M8">
        <v>120</v>
      </c>
    </row>
    <row r="10" spans="3:13">
      <c r="C10" t="s">
        <v>308</v>
      </c>
      <c r="E10" t="s">
        <v>309</v>
      </c>
    </row>
    <row r="12" spans="3:13">
      <c r="E12" s="4" t="s">
        <v>300</v>
      </c>
      <c r="F12" s="4" t="s">
        <v>307</v>
      </c>
      <c r="G12" s="4" t="s">
        <v>1</v>
      </c>
    </row>
    <row r="13" spans="3:13">
      <c r="E13" s="4" t="s">
        <v>305</v>
      </c>
      <c r="F13" s="7">
        <v>44980</v>
      </c>
      <c r="G13" s="4">
        <f>INDEX($F$3:$M$8, MATCH(E13,$E$3:$E$8,0), MATCH(F13,$F$2:$M$2,0))</f>
        <v>123</v>
      </c>
    </row>
    <row r="14" spans="3:13">
      <c r="E14" s="4"/>
      <c r="F14" s="6"/>
      <c r="G14" s="4"/>
    </row>
  </sheetData>
  <dataValidations count="1">
    <dataValidation type="list" allowBlank="1" showInputMessage="1" showErrorMessage="1" sqref="E14" xr:uid="{63B686F9-2F1C-4E91-9E96-E7DDA9973187}">
      <formula1>$B$4:$B$9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Assignment 1</vt:lpstr>
      <vt:lpstr>Dataset</vt:lpstr>
      <vt:lpstr>Assignment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Hedayet Ali</dc:creator>
  <cp:lastModifiedBy>User</cp:lastModifiedBy>
  <dcterms:created xsi:type="dcterms:W3CDTF">2025-09-14T10:16:06Z</dcterms:created>
  <dcterms:modified xsi:type="dcterms:W3CDTF">2025-11-22T15:46:28Z</dcterms:modified>
</cp:coreProperties>
</file>